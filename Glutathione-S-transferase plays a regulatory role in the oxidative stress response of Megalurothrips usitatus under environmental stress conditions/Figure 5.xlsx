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<sst xmlns="http://schemas.openxmlformats.org/spreadsheetml/2006/main" count="12" uniqueCount="8">
  <si>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PET-28a</t>
  </si>
  <si>
    <t>diameter cm</t>
  </si>
  <si>
    <t>area cm2</t>
  </si>
  <si>
    <t>repetition 1</t>
  </si>
  <si>
    <t>repetition 2</t>
  </si>
  <si>
    <t>repetition 3</t>
  </si>
  <si>
    <t>MuGSTs1</t>
  </si>
  <si>
    <t>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</si>
</sst>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0"/>
  <sheetViews>
    <sheetView tabSelected="1" workbookViewId="0">
      <selection activeCell="E17" sqref="E17"/>
    </sheetView>
  </sheetViews>
  <sheetFormatPr defaultColWidth="9" defaultRowHeight="13.5"/>
  <cols>
    <col min="1" max="1" width="14.5" customWidth="1"/>
    <col min="7" max="10" width="10.375"/>
    <col min="11" max="11" width="11.5"/>
  </cols>
  <sheetData>
    <row r="2" ht="15" spans="1:11">
      <c r="A2" s="1" t="s">
        <v>0</v>
      </c>
      <c r="B2" s="2" t="s">
        <v>1</v>
      </c>
      <c r="C2" s="3"/>
      <c r="D2" s="3"/>
      <c r="E2" s="3"/>
      <c r="F2" s="3"/>
      <c r="G2" s="4" t="s">
        <v>2</v>
      </c>
      <c r="H2" s="5"/>
      <c r="I2" s="5"/>
      <c r="J2" s="5"/>
      <c r="K2" s="5"/>
    </row>
    <row r="3" ht="15" spans="1:11">
      <c r="A3" s="1" t="s">
        <v>3</v>
      </c>
      <c r="B3" s="6">
        <v>0.72</v>
      </c>
      <c r="C3" s="6">
        <v>2.23</v>
      </c>
      <c r="D3" s="6">
        <v>2.45</v>
      </c>
      <c r="E3" s="6">
        <v>3.04</v>
      </c>
      <c r="F3" s="6">
        <v>3.61</v>
      </c>
      <c r="G3" s="6">
        <f>3.14*(B3/2)*(B3/2)</f>
        <v>0.406944</v>
      </c>
      <c r="H3" s="6">
        <f>3.14*(C3/2)*(C3/2)</f>
        <v>3.9037265</v>
      </c>
      <c r="I3" s="6">
        <f>3.14*(D3/2)*(D3/2)</f>
        <v>4.7119625</v>
      </c>
      <c r="J3" s="6">
        <f>3.14*(E3/2)*(E3/2)</f>
        <v>7.254656</v>
      </c>
      <c r="K3" s="6">
        <f>3.14*(F3/2)*(F3/2)</f>
        <v>10.2301985</v>
      </c>
    </row>
    <row r="4" ht="15" spans="1:11">
      <c r="A4" s="1" t="s">
        <v>4</v>
      </c>
      <c r="B4" s="6">
        <v>0.77</v>
      </c>
      <c r="C4" s="6">
        <v>2.12</v>
      </c>
      <c r="D4" s="6">
        <v>2.47</v>
      </c>
      <c r="E4" s="6">
        <v>3.11</v>
      </c>
      <c r="F4" s="6">
        <v>3.48</v>
      </c>
      <c r="G4" s="6">
        <f>3.14*(B4/2)*(B4/2)</f>
        <v>0.4654265</v>
      </c>
      <c r="H4" s="6">
        <f>3.14*(C4/2)*(C4/2)</f>
        <v>3.528104</v>
      </c>
      <c r="I4" s="6">
        <f>3.14*(D4/2)*(D4/2)</f>
        <v>4.7892065</v>
      </c>
      <c r="J4" s="6">
        <f>3.14*(E4/2)*(E4/2)</f>
        <v>7.5925985</v>
      </c>
      <c r="K4" s="6">
        <f>3.14*(F4/2)*(F4/2)</f>
        <v>9.506664</v>
      </c>
    </row>
    <row r="5" ht="15" spans="1:11">
      <c r="A5" s="1" t="s">
        <v>5</v>
      </c>
      <c r="B5" s="6">
        <v>0.7</v>
      </c>
      <c r="C5" s="6">
        <v>2.17</v>
      </c>
      <c r="D5" s="6">
        <v>2.51</v>
      </c>
      <c r="E5" s="6">
        <v>3.09</v>
      </c>
      <c r="F5" s="6">
        <v>3.55</v>
      </c>
      <c r="G5" s="6">
        <f>3.14*(B5/2)*(B5/2)</f>
        <v>0.38465</v>
      </c>
      <c r="H5" s="6">
        <f>3.14*(C5/2)*(C5/2)</f>
        <v>3.6964865</v>
      </c>
      <c r="I5" s="6">
        <f>3.14*(D5/2)*(D5/2)</f>
        <v>4.9455785</v>
      </c>
      <c r="J5" s="6">
        <f>3.14*(E5/2)*(E5/2)</f>
        <v>7.4952585</v>
      </c>
      <c r="K5" s="6">
        <f>3.14*(F5/2)*(F5/2)</f>
        <v>9.8929625</v>
      </c>
    </row>
    <row r="6" ht="15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ht="15" spans="1:11">
      <c r="A7" s="1" t="s">
        <v>6</v>
      </c>
      <c r="B7" s="1" t="s">
        <v>7</v>
      </c>
      <c r="C7" s="6">
        <v>12.5</v>
      </c>
      <c r="D7" s="6">
        <v>25</v>
      </c>
      <c r="E7" s="6">
        <v>50</v>
      </c>
      <c r="F7" s="6">
        <v>100</v>
      </c>
      <c r="G7" s="1" t="s">
        <v>7</v>
      </c>
      <c r="H7" s="6">
        <v>12.5</v>
      </c>
      <c r="I7" s="6">
        <v>25</v>
      </c>
      <c r="J7" s="6">
        <v>50</v>
      </c>
      <c r="K7" s="6">
        <v>100</v>
      </c>
    </row>
    <row r="8" ht="15" spans="1:11">
      <c r="A8" s="1" t="s">
        <v>3</v>
      </c>
      <c r="B8" s="6">
        <v>0.63</v>
      </c>
      <c r="C8" s="6">
        <v>1.87</v>
      </c>
      <c r="D8" s="6">
        <v>2.21</v>
      </c>
      <c r="E8" s="6">
        <v>2.44</v>
      </c>
      <c r="F8" s="6">
        <v>2.65</v>
      </c>
      <c r="G8" s="6">
        <f>3.14*(B8/2)*(B8/2)</f>
        <v>0.3115665</v>
      </c>
      <c r="H8" s="6">
        <f>3.14*(C8/2)*(C8/2)</f>
        <v>2.7450665</v>
      </c>
      <c r="I8" s="6">
        <f>3.14*(D8/2)*(D8/2)</f>
        <v>3.8340185</v>
      </c>
      <c r="J8" s="6">
        <f>3.14*(E8/2)*(E8/2)</f>
        <v>4.673576</v>
      </c>
      <c r="K8" s="6">
        <f>3.14*(F8/2)*(F8/2)</f>
        <v>5.5126625</v>
      </c>
    </row>
    <row r="9" ht="15" spans="1:11">
      <c r="A9" s="1" t="s">
        <v>4</v>
      </c>
      <c r="B9" s="6">
        <v>0.71</v>
      </c>
      <c r="C9" s="6">
        <v>1.62</v>
      </c>
      <c r="D9" s="6">
        <v>2.17</v>
      </c>
      <c r="E9" s="6">
        <v>2.38</v>
      </c>
      <c r="F9" s="6">
        <v>2.67</v>
      </c>
      <c r="G9" s="6">
        <f>3.14*(B9/2)*(B9/2)</f>
        <v>0.3957185</v>
      </c>
      <c r="H9" s="6">
        <f>3.14*(C9/2)*(C9/2)</f>
        <v>2.060154</v>
      </c>
      <c r="I9" s="6">
        <f>3.14*(D9/2)*(D9/2)</f>
        <v>3.6964865</v>
      </c>
      <c r="J9" s="6">
        <f>3.14*(E9/2)*(E9/2)</f>
        <v>4.446554</v>
      </c>
      <c r="K9" s="6">
        <f>3.14*(F9/2)*(F9/2)</f>
        <v>5.5961865</v>
      </c>
    </row>
    <row r="10" ht="15" spans="1:11">
      <c r="A10" s="1" t="s">
        <v>5</v>
      </c>
      <c r="B10" s="6">
        <v>0.68</v>
      </c>
      <c r="C10" s="6">
        <v>1.84</v>
      </c>
      <c r="D10" s="6">
        <v>2.23</v>
      </c>
      <c r="E10" s="6">
        <v>2.41</v>
      </c>
      <c r="F10" s="6">
        <v>2.71</v>
      </c>
      <c r="G10" s="6">
        <f>3.14*(B10/2)*(B10/2)</f>
        <v>0.362984</v>
      </c>
      <c r="H10" s="6">
        <f>3.14*(C10/2)*(C10/2)</f>
        <v>2.657696</v>
      </c>
      <c r="I10" s="6">
        <f>3.14*(D10/2)*(D10/2)</f>
        <v>3.9037265</v>
      </c>
      <c r="J10" s="6">
        <f>3.14*(E10/2)*(E10/2)</f>
        <v>4.5593585</v>
      </c>
      <c r="K10" s="6">
        <f>3.14*(F10/2)*(F10/2)</f>
        <v>5.7651185</v>
      </c>
    </row>
  </sheetData>
  <mergeCells count="2">
    <mergeCell ref="B2:F2"/>
    <mergeCell ref="G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2024-08-17T06:23:00Z</dcterms:created>
  <dcterms:modified xsi:type="dcterms:W3CDTF">2024-08-18T07:28:52Z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AF52363CC150430E8FB8C5911F1740ED_11</vt:lpwstr>
  </property>
  <property fmtid="{D5CDD505-2E9C-101B-9397-08002B2CF9AE}" pid="3" name="KSOProductBuildVer">
    <vt:lpwstr>2052-12.1.0.16929</vt:lpwstr>
  </property>
</Properties>
</file>