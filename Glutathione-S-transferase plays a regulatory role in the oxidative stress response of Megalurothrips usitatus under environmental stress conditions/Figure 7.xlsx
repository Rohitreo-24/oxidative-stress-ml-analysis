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339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<sst xmlns="http://schemas.openxmlformats.org/spreadsheetml/2006/main" count="360" uniqueCount="77">
  <si>
    <t>(A) Survival curve of M.usitatus under UV stress</t>
  </si>
  <si>
    <t>UV-A</t>
  </si>
  <si>
    <t>dsEGFP</t>
  </si>
  <si>
    <t>dsMuGSTs1</t>
  </si>
  <si>
    <t>UV-B</t>
  </si>
  <si>
    <t>Time</t>
  </si>
  <si>
    <t>Survival</t>
  </si>
  <si>
    <t>death</t>
  </si>
  <si>
    <t>Totality</t>
  </si>
  <si>
    <t>0h-1</t>
  </si>
  <si>
    <t>0h-2</t>
  </si>
  <si>
    <t>0h-3</t>
  </si>
  <si>
    <t>3h-1</t>
  </si>
  <si>
    <t>3h-2</t>
  </si>
  <si>
    <t>3h-3</t>
  </si>
  <si>
    <t>6h-1</t>
  </si>
  <si>
    <t>6h-2</t>
  </si>
  <si>
    <t>6h-3</t>
  </si>
  <si>
    <t>9h-1</t>
  </si>
  <si>
    <t>9h-2</t>
  </si>
  <si>
    <t>9h-3</t>
  </si>
  <si>
    <t>12h-1</t>
  </si>
  <si>
    <t>12h-2</t>
  </si>
  <si>
    <t>12h-3</t>
  </si>
  <si>
    <t>24h-1</t>
  </si>
  <si>
    <t>24h-2</t>
  </si>
  <si>
    <t>24h-3</t>
  </si>
  <si>
    <t>48h-1</t>
  </si>
  <si>
    <t>48h-2</t>
  </si>
  <si>
    <t>48h-3</t>
  </si>
  <si>
    <t>(B) Determination of antioxidant enzyme system activity under UV stress</t>
  </si>
  <si>
    <t>GSTs</t>
  </si>
  <si>
    <t>W</t>
  </si>
  <si>
    <t>dilution ratio</t>
  </si>
  <si>
    <t>A1</t>
  </si>
  <si>
    <t>A2</t>
  </si>
  <si>
    <t>Repeat 1</t>
  </si>
  <si>
    <t>Repeat 2</t>
  </si>
  <si>
    <t>CK</t>
  </si>
  <si>
    <t>A3</t>
  </si>
  <si>
    <t>A4</t>
  </si>
  <si>
    <t>0h</t>
  </si>
  <si>
    <t>3h</t>
  </si>
  <si>
    <t>6h</t>
  </si>
  <si>
    <t>9h</t>
  </si>
  <si>
    <t>SOD</t>
  </si>
  <si>
    <t>blank control group1</t>
  </si>
  <si>
    <t>blank control group 2</t>
  </si>
  <si>
    <t>Measured value</t>
  </si>
  <si>
    <t>control</t>
  </si>
  <si>
    <t>POD</t>
  </si>
  <si>
    <t>CAT</t>
  </si>
  <si>
    <t>(C) determination of antioxidant index under UV stress</t>
  </si>
  <si>
    <t>T-AOC</t>
  </si>
  <si>
    <t>Fe concentration</t>
  </si>
  <si>
    <t>blank control group</t>
  </si>
  <si>
    <t>Repeat 3</t>
  </si>
  <si>
    <t>MDA</t>
  </si>
  <si>
    <t>Absorption value at wavelength 532</t>
  </si>
  <si>
    <t>H2O2</t>
  </si>
  <si>
    <t xml:space="preserve"> control</t>
  </si>
  <si>
    <t>standard</t>
  </si>
  <si>
    <t xml:space="preserve">Measured </t>
  </si>
  <si>
    <t>dsE-0h</t>
  </si>
  <si>
    <t>ds9-0h</t>
  </si>
  <si>
    <t>dsE-A-3h</t>
  </si>
  <si>
    <t>ds9-A-3h</t>
  </si>
  <si>
    <t>dsE-B-3h</t>
  </si>
  <si>
    <t>ds9-B-3h</t>
  </si>
  <si>
    <t>dsE-A-6h</t>
  </si>
  <si>
    <t>ds9-A-6h</t>
  </si>
  <si>
    <t>dsE-B-6h</t>
  </si>
  <si>
    <t>ds9-B-6h</t>
  </si>
  <si>
    <t>dsE-A-9h</t>
  </si>
  <si>
    <t>ds9-A-9h</t>
  </si>
  <si>
    <t>dsE-B-9h</t>
  </si>
  <si>
    <t>ds9-B-9h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</si>
</sst>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  <numFmt numFmtId="178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name val="Times New Roman"/>
      <charset val="134"/>
    </font>
    <font>
      <sz val="10.5"/>
      <color theme="1"/>
      <name val="Times New Roman"/>
      <charset val="134"/>
    </font>
    <font>
      <b/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T-AOC</a:t>
            </a:r>
            <a:r>
              <a:rPr altLang="en-US"/>
              <a:t>标准曲线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'C:\Users\董文博\Documents\[工作簿1]Sheet1'!$B$7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2277293014632"/>
                  <c:y val="0.47894991003397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'C:\Users\董文博\Documents\[工作簿1]Sheet1'!$A$8:$A$13</c:f>
              <c:numCache>
                <c:formatCode>General</c:formatCode>
                <c:ptCount val="6"/>
                <c:pt idx="0">
                  <c:v>0.05</c:v>
                </c:pt>
                <c:pt idx="1">
                  <c:v>0.025</c:v>
                </c:pt>
                <c:pt idx="2">
                  <c:v>0.0125</c:v>
                </c:pt>
                <c:pt idx="3">
                  <c:v>0.00625</c:v>
                </c:pt>
                <c:pt idx="4">
                  <c:v>0.003125</c:v>
                </c:pt>
                <c:pt idx="5">
                  <c:v>0.00156</c:v>
                </c:pt>
              </c:numCache>
            </c:numRef>
          </c:xVal>
          <c:yVal>
            <c:numRef>
              <c:f>'C:\Users\董文博\Documents\[工作簿1]Sheet1'!$B$8:$B$13</c:f>
              <c:numCache>
                <c:formatCode>General</c:formatCode>
                <c:ptCount val="6"/>
                <c:pt idx="0">
                  <c:v>0.065</c:v>
                </c:pt>
                <c:pt idx="1">
                  <c:v>0.0543333333333333</c:v>
                </c:pt>
                <c:pt idx="2">
                  <c:v>0.0476666666666667</c:v>
                </c:pt>
                <c:pt idx="3">
                  <c:v>0.0453333333333333</c:v>
                </c:pt>
                <c:pt idx="4">
                  <c:v>0.0426666666666667</c:v>
                </c:pt>
                <c:pt idx="5">
                  <c:v>0.042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01609"/>
        <c:axId val="645028273"/>
      </c:scatterChart>
      <c:valAx>
        <c:axId val="4160016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5028273"/>
        <c:crosses val="autoZero"/>
        <c:crossBetween val="midCat"/>
      </c:valAx>
      <c:valAx>
        <c:axId val="6450282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00160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161925</xdr:colOff>
      <xdr:row>78</xdr:row>
      <xdr:rowOff>161925</xdr:rowOff>
    </xdr:from>
    <xdr:to>
      <xdr:col>21</xdr:col>
      <xdr:colOff>229870</xdr:colOff>
      <xdr:row>88</xdr:row>
      <xdr:rowOff>62230</xdr:rowOff>
    </xdr:to>
    <xdr:graphicFrame>
      <xdr:nvGraphicFramePr>
        <xdr:cNvPr id="2" name="图表 1"/>
        <xdr:cNvGraphicFramePr/>
      </xdr:nvGraphicFramePr>
      <xdr:xfrm>
        <a:off x="11553825" y="15220950"/>
        <a:ext cx="3496945" cy="1805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33891;&#25991;&#21338;\Documents\&#24037;&#20316;&#31807;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3"/>
  <sheetViews>
    <sheetView tabSelected="1" topLeftCell="A100" workbookViewId="0">
      <selection activeCell="L135" sqref="L135"/>
    </sheetView>
  </sheetViews>
  <sheetFormatPr defaultColWidth="9" defaultRowHeight="15"/>
  <cols>
    <col min="1" max="1" width="11.25" style="1" customWidth="1"/>
    <col min="2" max="4" width="9" style="1"/>
    <col min="5" max="5" width="11.125" style="1"/>
    <col min="6" max="6" width="9" style="1"/>
    <col min="7" max="9" width="9.375" style="1"/>
    <col min="10" max="16384" width="9" style="1"/>
  </cols>
  <sheetData>
    <row r="1" ht="14.25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5"/>
      <c r="T1" s="25"/>
    </row>
    <row r="2" ht="15.75" spans="1:18">
      <c r="A2" s="3" t="s">
        <v>1</v>
      </c>
      <c r="B2" s="3" t="s">
        <v>2</v>
      </c>
      <c r="C2" s="3"/>
      <c r="D2" s="3"/>
      <c r="E2" s="3"/>
      <c r="F2" s="4" t="s">
        <v>3</v>
      </c>
      <c r="G2" s="5"/>
      <c r="H2" s="5"/>
      <c r="I2" s="19"/>
      <c r="J2" s="3" t="s">
        <v>4</v>
      </c>
      <c r="K2" s="3" t="s">
        <v>2</v>
      </c>
      <c r="L2" s="3"/>
      <c r="M2" s="3"/>
      <c r="N2" s="3"/>
      <c r="O2" s="6" t="s">
        <v>3</v>
      </c>
      <c r="P2" s="6"/>
      <c r="Q2" s="6"/>
      <c r="R2" s="6"/>
    </row>
    <row r="3" ht="15.75" spans="1:18">
      <c r="A3" s="3"/>
      <c r="B3" s="6" t="s">
        <v>5</v>
      </c>
      <c r="C3" s="6" t="s">
        <v>6</v>
      </c>
      <c r="D3" s="6" t="s">
        <v>7</v>
      </c>
      <c r="E3" s="6" t="s">
        <v>8</v>
      </c>
      <c r="F3" s="6" t="s">
        <v>5</v>
      </c>
      <c r="G3" s="6" t="s">
        <v>6</v>
      </c>
      <c r="H3" s="6" t="s">
        <v>7</v>
      </c>
      <c r="I3" s="6" t="s">
        <v>8</v>
      </c>
      <c r="J3" s="3"/>
      <c r="K3" s="6" t="s">
        <v>5</v>
      </c>
      <c r="L3" s="6" t="s">
        <v>6</v>
      </c>
      <c r="M3" s="6" t="s">
        <v>7</v>
      </c>
      <c r="N3" s="6" t="s">
        <v>8</v>
      </c>
      <c r="O3" s="6" t="s">
        <v>5</v>
      </c>
      <c r="P3" s="6" t="s">
        <v>6</v>
      </c>
      <c r="Q3" s="6" t="s">
        <v>7</v>
      </c>
      <c r="R3" s="6" t="s">
        <v>8</v>
      </c>
    </row>
    <row r="4" ht="15.75" spans="1:18">
      <c r="A4" s="3"/>
      <c r="B4" s="6" t="s">
        <v>9</v>
      </c>
      <c r="C4" s="6">
        <f t="shared" ref="C4:C24" si="0">E4-D4</f>
        <v>21</v>
      </c>
      <c r="D4" s="7">
        <v>0</v>
      </c>
      <c r="E4" s="8">
        <v>21</v>
      </c>
      <c r="F4" s="6" t="s">
        <v>9</v>
      </c>
      <c r="G4" s="6">
        <f t="shared" ref="G4:G24" si="1">I4-H4</f>
        <v>25</v>
      </c>
      <c r="H4" s="7">
        <v>0</v>
      </c>
      <c r="I4" s="8">
        <v>25</v>
      </c>
      <c r="J4" s="3"/>
      <c r="K4" s="6" t="s">
        <v>9</v>
      </c>
      <c r="L4" s="6">
        <f t="shared" ref="L4:L24" si="2">N4-M4</f>
        <v>27</v>
      </c>
      <c r="M4" s="7">
        <v>0</v>
      </c>
      <c r="N4" s="8">
        <v>27</v>
      </c>
      <c r="O4" s="6" t="s">
        <v>9</v>
      </c>
      <c r="P4" s="6">
        <f t="shared" ref="P4:P24" si="3">R4-Q4</f>
        <v>18</v>
      </c>
      <c r="Q4" s="7">
        <v>0</v>
      </c>
      <c r="R4" s="8">
        <v>18</v>
      </c>
    </row>
    <row r="5" ht="15.75" spans="1:18">
      <c r="A5" s="3"/>
      <c r="B5" s="6" t="s">
        <v>10</v>
      </c>
      <c r="C5" s="6">
        <f t="shared" si="0"/>
        <v>18</v>
      </c>
      <c r="D5" s="9">
        <v>0</v>
      </c>
      <c r="E5" s="8">
        <v>18</v>
      </c>
      <c r="F5" s="6" t="s">
        <v>10</v>
      </c>
      <c r="G5" s="6">
        <f t="shared" si="1"/>
        <v>25</v>
      </c>
      <c r="H5" s="9">
        <v>0</v>
      </c>
      <c r="I5" s="8">
        <v>25</v>
      </c>
      <c r="J5" s="3"/>
      <c r="K5" s="6" t="s">
        <v>10</v>
      </c>
      <c r="L5" s="6">
        <f t="shared" si="2"/>
        <v>19</v>
      </c>
      <c r="M5" s="9">
        <v>0</v>
      </c>
      <c r="N5" s="8">
        <v>19</v>
      </c>
      <c r="O5" s="6" t="s">
        <v>10</v>
      </c>
      <c r="P5" s="6">
        <f t="shared" si="3"/>
        <v>21</v>
      </c>
      <c r="Q5" s="9">
        <v>0</v>
      </c>
      <c r="R5" s="8">
        <v>21</v>
      </c>
    </row>
    <row r="6" ht="15.75" spans="1:18">
      <c r="A6" s="3"/>
      <c r="B6" s="6" t="s">
        <v>11</v>
      </c>
      <c r="C6" s="6">
        <f t="shared" si="0"/>
        <v>19</v>
      </c>
      <c r="D6" s="7">
        <v>0</v>
      </c>
      <c r="E6" s="8">
        <v>19</v>
      </c>
      <c r="F6" s="6" t="s">
        <v>11</v>
      </c>
      <c r="G6" s="6">
        <f t="shared" si="1"/>
        <v>24</v>
      </c>
      <c r="H6" s="7">
        <v>0</v>
      </c>
      <c r="I6" s="8">
        <v>24</v>
      </c>
      <c r="J6" s="3"/>
      <c r="K6" s="6" t="s">
        <v>11</v>
      </c>
      <c r="L6" s="6">
        <f t="shared" si="2"/>
        <v>23</v>
      </c>
      <c r="M6" s="3">
        <v>0</v>
      </c>
      <c r="N6" s="8">
        <v>23</v>
      </c>
      <c r="O6" s="6" t="s">
        <v>11</v>
      </c>
      <c r="P6" s="6">
        <f t="shared" si="3"/>
        <v>28</v>
      </c>
      <c r="Q6" s="7">
        <v>0</v>
      </c>
      <c r="R6" s="8">
        <v>28</v>
      </c>
    </row>
    <row r="7" ht="15.75" spans="1:18">
      <c r="A7" s="3"/>
      <c r="B7" s="6" t="s">
        <v>12</v>
      </c>
      <c r="C7" s="6">
        <f t="shared" si="0"/>
        <v>21</v>
      </c>
      <c r="D7" s="7">
        <v>0</v>
      </c>
      <c r="E7" s="8">
        <v>21</v>
      </c>
      <c r="F7" s="6" t="s">
        <v>12</v>
      </c>
      <c r="G7" s="6">
        <f t="shared" si="1"/>
        <v>25</v>
      </c>
      <c r="H7" s="7">
        <v>0</v>
      </c>
      <c r="I7" s="8">
        <v>25</v>
      </c>
      <c r="J7" s="3"/>
      <c r="K7" s="6" t="s">
        <v>12</v>
      </c>
      <c r="L7" s="6">
        <f t="shared" si="2"/>
        <v>27</v>
      </c>
      <c r="M7" s="7">
        <v>0</v>
      </c>
      <c r="N7" s="8">
        <v>27</v>
      </c>
      <c r="O7" s="6" t="s">
        <v>12</v>
      </c>
      <c r="P7" s="6">
        <f t="shared" si="3"/>
        <v>18</v>
      </c>
      <c r="Q7" s="7">
        <v>0</v>
      </c>
      <c r="R7" s="8">
        <v>18</v>
      </c>
    </row>
    <row r="8" ht="15.75" spans="1:18">
      <c r="A8" s="3"/>
      <c r="B8" s="6" t="s">
        <v>13</v>
      </c>
      <c r="C8" s="6">
        <f t="shared" si="0"/>
        <v>18</v>
      </c>
      <c r="D8" s="7">
        <v>0</v>
      </c>
      <c r="E8" s="8">
        <v>18</v>
      </c>
      <c r="F8" s="6" t="s">
        <v>13</v>
      </c>
      <c r="G8" s="6">
        <f t="shared" si="1"/>
        <v>25</v>
      </c>
      <c r="H8" s="7">
        <v>0</v>
      </c>
      <c r="I8" s="8">
        <v>25</v>
      </c>
      <c r="J8" s="3"/>
      <c r="K8" s="6" t="s">
        <v>13</v>
      </c>
      <c r="L8" s="6">
        <f t="shared" si="2"/>
        <v>19</v>
      </c>
      <c r="M8" s="7">
        <v>0</v>
      </c>
      <c r="N8" s="8">
        <v>19</v>
      </c>
      <c r="O8" s="6" t="s">
        <v>13</v>
      </c>
      <c r="P8" s="6">
        <f t="shared" si="3"/>
        <v>21</v>
      </c>
      <c r="Q8" s="7">
        <v>0</v>
      </c>
      <c r="R8" s="8">
        <v>21</v>
      </c>
    </row>
    <row r="9" ht="15.75" spans="1:18">
      <c r="A9" s="3"/>
      <c r="B9" s="6" t="s">
        <v>14</v>
      </c>
      <c r="C9" s="6">
        <f t="shared" si="0"/>
        <v>19</v>
      </c>
      <c r="D9" s="7">
        <v>0</v>
      </c>
      <c r="E9" s="8">
        <v>19</v>
      </c>
      <c r="F9" s="6" t="s">
        <v>14</v>
      </c>
      <c r="G9" s="6">
        <f t="shared" si="1"/>
        <v>24</v>
      </c>
      <c r="H9" s="7">
        <v>0</v>
      </c>
      <c r="I9" s="8">
        <v>24</v>
      </c>
      <c r="J9" s="3"/>
      <c r="K9" s="6" t="s">
        <v>14</v>
      </c>
      <c r="L9" s="6">
        <f t="shared" si="2"/>
        <v>23</v>
      </c>
      <c r="M9" s="7">
        <v>0</v>
      </c>
      <c r="N9" s="8">
        <v>23</v>
      </c>
      <c r="O9" s="6" t="s">
        <v>14</v>
      </c>
      <c r="P9" s="6">
        <f t="shared" si="3"/>
        <v>28</v>
      </c>
      <c r="Q9" s="7">
        <v>0</v>
      </c>
      <c r="R9" s="8">
        <v>28</v>
      </c>
    </row>
    <row r="10" ht="15.75" spans="1:18">
      <c r="A10" s="3"/>
      <c r="B10" s="6" t="s">
        <v>15</v>
      </c>
      <c r="C10" s="6">
        <f t="shared" si="0"/>
        <v>21</v>
      </c>
      <c r="D10" s="7">
        <v>0</v>
      </c>
      <c r="E10" s="10">
        <v>21</v>
      </c>
      <c r="F10" s="6" t="s">
        <v>15</v>
      </c>
      <c r="G10" s="6">
        <f t="shared" si="1"/>
        <v>25</v>
      </c>
      <c r="H10" s="7">
        <v>0</v>
      </c>
      <c r="I10" s="8">
        <v>25</v>
      </c>
      <c r="J10" s="3"/>
      <c r="K10" s="6" t="s">
        <v>15</v>
      </c>
      <c r="L10" s="6">
        <f t="shared" si="2"/>
        <v>27</v>
      </c>
      <c r="M10" s="7">
        <v>0</v>
      </c>
      <c r="N10" s="8">
        <v>27</v>
      </c>
      <c r="O10" s="6" t="s">
        <v>15</v>
      </c>
      <c r="P10" s="6">
        <f t="shared" si="3"/>
        <v>18</v>
      </c>
      <c r="Q10" s="7">
        <v>0</v>
      </c>
      <c r="R10" s="8">
        <v>18</v>
      </c>
    </row>
    <row r="11" ht="15.75" spans="1:18">
      <c r="A11" s="3"/>
      <c r="B11" s="6" t="s">
        <v>16</v>
      </c>
      <c r="C11" s="6">
        <f t="shared" si="0"/>
        <v>18</v>
      </c>
      <c r="D11" s="6">
        <v>0</v>
      </c>
      <c r="E11" s="10">
        <v>18</v>
      </c>
      <c r="F11" s="6" t="s">
        <v>16</v>
      </c>
      <c r="G11" s="6">
        <f t="shared" si="1"/>
        <v>25</v>
      </c>
      <c r="H11" s="7">
        <v>0</v>
      </c>
      <c r="I11" s="8">
        <v>25</v>
      </c>
      <c r="J11" s="3"/>
      <c r="K11" s="6" t="s">
        <v>16</v>
      </c>
      <c r="L11" s="6">
        <f t="shared" si="2"/>
        <v>18</v>
      </c>
      <c r="M11" s="7">
        <v>1</v>
      </c>
      <c r="N11" s="8">
        <v>19</v>
      </c>
      <c r="O11" s="6" t="s">
        <v>16</v>
      </c>
      <c r="P11" s="6">
        <f t="shared" si="3"/>
        <v>21</v>
      </c>
      <c r="Q11" s="7">
        <v>0</v>
      </c>
      <c r="R11" s="8">
        <v>21</v>
      </c>
    </row>
    <row r="12" ht="15.75" spans="1:18">
      <c r="A12" s="3"/>
      <c r="B12" s="6" t="s">
        <v>17</v>
      </c>
      <c r="C12" s="6">
        <f t="shared" si="0"/>
        <v>18</v>
      </c>
      <c r="D12" s="6">
        <v>1</v>
      </c>
      <c r="E12" s="10">
        <v>19</v>
      </c>
      <c r="F12" s="6" t="s">
        <v>17</v>
      </c>
      <c r="G12" s="6">
        <f t="shared" si="1"/>
        <v>24</v>
      </c>
      <c r="H12" s="7">
        <v>0</v>
      </c>
      <c r="I12" s="8">
        <v>24</v>
      </c>
      <c r="J12" s="3"/>
      <c r="K12" s="6" t="s">
        <v>17</v>
      </c>
      <c r="L12" s="6">
        <f t="shared" si="2"/>
        <v>23</v>
      </c>
      <c r="M12" s="7">
        <v>0</v>
      </c>
      <c r="N12" s="8">
        <v>23</v>
      </c>
      <c r="O12" s="6" t="s">
        <v>17</v>
      </c>
      <c r="P12" s="6">
        <f t="shared" si="3"/>
        <v>28</v>
      </c>
      <c r="Q12" s="7">
        <v>0</v>
      </c>
      <c r="R12" s="8">
        <v>28</v>
      </c>
    </row>
    <row r="13" ht="15.75" spans="1:18">
      <c r="A13" s="3"/>
      <c r="B13" s="6" t="s">
        <v>18</v>
      </c>
      <c r="C13" s="6">
        <f t="shared" si="0"/>
        <v>21</v>
      </c>
      <c r="D13" s="6">
        <v>0</v>
      </c>
      <c r="E13" s="10">
        <v>21</v>
      </c>
      <c r="F13" s="6" t="s">
        <v>18</v>
      </c>
      <c r="G13" s="6">
        <f t="shared" si="1"/>
        <v>25</v>
      </c>
      <c r="H13" s="7">
        <v>0</v>
      </c>
      <c r="I13" s="8">
        <v>25</v>
      </c>
      <c r="J13" s="3"/>
      <c r="K13" s="6" t="s">
        <v>18</v>
      </c>
      <c r="L13" s="6">
        <f t="shared" si="2"/>
        <v>27</v>
      </c>
      <c r="M13" s="7">
        <v>0</v>
      </c>
      <c r="N13" s="8">
        <v>27</v>
      </c>
      <c r="O13" s="6" t="s">
        <v>18</v>
      </c>
      <c r="P13" s="6">
        <f t="shared" si="3"/>
        <v>17</v>
      </c>
      <c r="Q13" s="7">
        <v>1</v>
      </c>
      <c r="R13" s="8">
        <v>18</v>
      </c>
    </row>
    <row r="14" ht="15.75" spans="1:18">
      <c r="A14" s="3"/>
      <c r="B14" s="6" t="s">
        <v>19</v>
      </c>
      <c r="C14" s="6">
        <f t="shared" si="0"/>
        <v>18</v>
      </c>
      <c r="D14" s="6">
        <v>0</v>
      </c>
      <c r="E14" s="10">
        <v>18</v>
      </c>
      <c r="F14" s="6" t="s">
        <v>19</v>
      </c>
      <c r="G14" s="6">
        <f t="shared" si="1"/>
        <v>25</v>
      </c>
      <c r="H14" s="7">
        <v>0</v>
      </c>
      <c r="I14" s="8">
        <v>25</v>
      </c>
      <c r="J14" s="3"/>
      <c r="K14" s="6" t="s">
        <v>19</v>
      </c>
      <c r="L14" s="6">
        <f t="shared" si="2"/>
        <v>18</v>
      </c>
      <c r="M14" s="7">
        <v>1</v>
      </c>
      <c r="N14" s="8">
        <v>19</v>
      </c>
      <c r="O14" s="6" t="s">
        <v>19</v>
      </c>
      <c r="P14" s="6">
        <f t="shared" si="3"/>
        <v>20</v>
      </c>
      <c r="Q14" s="7">
        <v>1</v>
      </c>
      <c r="R14" s="8">
        <v>21</v>
      </c>
    </row>
    <row r="15" ht="15.75" spans="1:18">
      <c r="A15" s="3"/>
      <c r="B15" s="6" t="s">
        <v>20</v>
      </c>
      <c r="C15" s="6">
        <f t="shared" si="0"/>
        <v>18</v>
      </c>
      <c r="D15" s="6">
        <v>1</v>
      </c>
      <c r="E15" s="10">
        <v>19</v>
      </c>
      <c r="F15" s="6" t="s">
        <v>20</v>
      </c>
      <c r="G15" s="6">
        <f t="shared" si="1"/>
        <v>23</v>
      </c>
      <c r="H15" s="7">
        <v>1</v>
      </c>
      <c r="I15" s="8">
        <v>24</v>
      </c>
      <c r="J15" s="3"/>
      <c r="K15" s="6" t="s">
        <v>20</v>
      </c>
      <c r="L15" s="6">
        <f t="shared" si="2"/>
        <v>23</v>
      </c>
      <c r="M15" s="7">
        <v>0</v>
      </c>
      <c r="N15" s="8">
        <v>23</v>
      </c>
      <c r="O15" s="6" t="s">
        <v>20</v>
      </c>
      <c r="P15" s="6">
        <f t="shared" si="3"/>
        <v>27</v>
      </c>
      <c r="Q15" s="6">
        <v>1</v>
      </c>
      <c r="R15" s="8">
        <v>28</v>
      </c>
    </row>
    <row r="16" ht="15.75" spans="1:18">
      <c r="A16" s="3"/>
      <c r="B16" s="6" t="s">
        <v>21</v>
      </c>
      <c r="C16" s="6">
        <f t="shared" si="0"/>
        <v>21</v>
      </c>
      <c r="D16" s="6">
        <v>0</v>
      </c>
      <c r="E16" s="10">
        <v>21</v>
      </c>
      <c r="F16" s="6" t="s">
        <v>21</v>
      </c>
      <c r="G16" s="6">
        <f t="shared" si="1"/>
        <v>25</v>
      </c>
      <c r="H16" s="7">
        <v>0</v>
      </c>
      <c r="I16" s="8">
        <v>25</v>
      </c>
      <c r="J16" s="3"/>
      <c r="K16" s="6" t="s">
        <v>21</v>
      </c>
      <c r="L16" s="6">
        <f t="shared" si="2"/>
        <v>26</v>
      </c>
      <c r="M16" s="6">
        <v>1</v>
      </c>
      <c r="N16" s="8">
        <v>27</v>
      </c>
      <c r="O16" s="6" t="s">
        <v>21</v>
      </c>
      <c r="P16" s="6">
        <f t="shared" si="3"/>
        <v>17</v>
      </c>
      <c r="Q16" s="7">
        <v>1</v>
      </c>
      <c r="R16" s="8">
        <v>18</v>
      </c>
    </row>
    <row r="17" ht="15.75" spans="1:18">
      <c r="A17" s="3"/>
      <c r="B17" s="6" t="s">
        <v>22</v>
      </c>
      <c r="C17" s="6">
        <f t="shared" si="0"/>
        <v>18</v>
      </c>
      <c r="D17" s="6">
        <v>0</v>
      </c>
      <c r="E17" s="10">
        <v>18</v>
      </c>
      <c r="F17" s="6" t="s">
        <v>22</v>
      </c>
      <c r="G17" s="6">
        <f t="shared" si="1"/>
        <v>25</v>
      </c>
      <c r="H17" s="6">
        <v>0</v>
      </c>
      <c r="I17" s="8">
        <v>25</v>
      </c>
      <c r="J17" s="3"/>
      <c r="K17" s="6" t="s">
        <v>22</v>
      </c>
      <c r="L17" s="6">
        <f t="shared" si="2"/>
        <v>18</v>
      </c>
      <c r="M17" s="6">
        <v>1</v>
      </c>
      <c r="N17" s="8">
        <v>19</v>
      </c>
      <c r="O17" s="6" t="s">
        <v>22</v>
      </c>
      <c r="P17" s="6">
        <f t="shared" si="3"/>
        <v>20</v>
      </c>
      <c r="Q17" s="7">
        <v>1</v>
      </c>
      <c r="R17" s="8">
        <v>21</v>
      </c>
    </row>
    <row r="18" ht="15.75" spans="1:18">
      <c r="A18" s="3"/>
      <c r="B18" s="6" t="s">
        <v>23</v>
      </c>
      <c r="C18" s="6">
        <f t="shared" si="0"/>
        <v>17</v>
      </c>
      <c r="D18" s="6">
        <v>2</v>
      </c>
      <c r="E18" s="10">
        <v>19</v>
      </c>
      <c r="F18" s="6" t="s">
        <v>23</v>
      </c>
      <c r="G18" s="6">
        <f t="shared" si="1"/>
        <v>22</v>
      </c>
      <c r="H18" s="6">
        <v>2</v>
      </c>
      <c r="I18" s="8">
        <v>24</v>
      </c>
      <c r="J18" s="3"/>
      <c r="K18" s="6" t="s">
        <v>23</v>
      </c>
      <c r="L18" s="6">
        <f t="shared" si="2"/>
        <v>22</v>
      </c>
      <c r="M18" s="6">
        <v>1</v>
      </c>
      <c r="N18" s="8">
        <v>23</v>
      </c>
      <c r="O18" s="6" t="s">
        <v>23</v>
      </c>
      <c r="P18" s="6">
        <f t="shared" si="3"/>
        <v>27</v>
      </c>
      <c r="Q18" s="6">
        <v>1</v>
      </c>
      <c r="R18" s="8">
        <v>28</v>
      </c>
    </row>
    <row r="19" ht="15.75" spans="1:18">
      <c r="A19" s="3"/>
      <c r="B19" s="6" t="s">
        <v>24</v>
      </c>
      <c r="C19" s="6">
        <f t="shared" si="0"/>
        <v>21</v>
      </c>
      <c r="D19" s="6">
        <v>0</v>
      </c>
      <c r="E19" s="10">
        <v>21</v>
      </c>
      <c r="F19" s="6" t="s">
        <v>24</v>
      </c>
      <c r="G19" s="6">
        <f t="shared" si="1"/>
        <v>25</v>
      </c>
      <c r="H19" s="7">
        <v>0</v>
      </c>
      <c r="I19" s="8">
        <v>25</v>
      </c>
      <c r="J19" s="3"/>
      <c r="K19" s="6" t="s">
        <v>24</v>
      </c>
      <c r="L19" s="6">
        <f t="shared" si="2"/>
        <v>26</v>
      </c>
      <c r="M19" s="6">
        <v>1</v>
      </c>
      <c r="N19" s="8">
        <v>27</v>
      </c>
      <c r="O19" s="6" t="s">
        <v>24</v>
      </c>
      <c r="P19" s="6">
        <f t="shared" si="3"/>
        <v>17</v>
      </c>
      <c r="Q19" s="6">
        <v>1</v>
      </c>
      <c r="R19" s="8">
        <v>18</v>
      </c>
    </row>
    <row r="20" ht="15.75" spans="1:18">
      <c r="A20" s="3"/>
      <c r="B20" s="6" t="s">
        <v>25</v>
      </c>
      <c r="C20" s="6">
        <f t="shared" si="0"/>
        <v>18</v>
      </c>
      <c r="D20" s="6">
        <v>0</v>
      </c>
      <c r="E20" s="10">
        <v>18</v>
      </c>
      <c r="F20" s="6" t="s">
        <v>25</v>
      </c>
      <c r="G20" s="6">
        <f t="shared" si="1"/>
        <v>25</v>
      </c>
      <c r="H20" s="6">
        <v>0</v>
      </c>
      <c r="I20" s="8">
        <v>25</v>
      </c>
      <c r="J20" s="3"/>
      <c r="K20" s="6" t="s">
        <v>25</v>
      </c>
      <c r="L20" s="6">
        <f t="shared" si="2"/>
        <v>18</v>
      </c>
      <c r="M20" s="6">
        <v>1</v>
      </c>
      <c r="N20" s="8">
        <v>19</v>
      </c>
      <c r="O20" s="6" t="s">
        <v>25</v>
      </c>
      <c r="P20" s="6">
        <f t="shared" si="3"/>
        <v>19</v>
      </c>
      <c r="Q20" s="6">
        <v>2</v>
      </c>
      <c r="R20" s="8">
        <v>21</v>
      </c>
    </row>
    <row r="21" ht="15.75" spans="1:18">
      <c r="A21" s="3"/>
      <c r="B21" s="6" t="s">
        <v>26</v>
      </c>
      <c r="C21" s="6">
        <f t="shared" si="0"/>
        <v>17</v>
      </c>
      <c r="D21" s="6">
        <v>2</v>
      </c>
      <c r="E21" s="10">
        <v>19</v>
      </c>
      <c r="F21" s="6" t="s">
        <v>26</v>
      </c>
      <c r="G21" s="6">
        <f t="shared" si="1"/>
        <v>22</v>
      </c>
      <c r="H21" s="6">
        <v>2</v>
      </c>
      <c r="I21" s="8">
        <v>24</v>
      </c>
      <c r="J21" s="3"/>
      <c r="K21" s="6" t="s">
        <v>26</v>
      </c>
      <c r="L21" s="6">
        <f t="shared" si="2"/>
        <v>22</v>
      </c>
      <c r="M21" s="6">
        <v>1</v>
      </c>
      <c r="N21" s="8">
        <v>23</v>
      </c>
      <c r="O21" s="6" t="s">
        <v>26</v>
      </c>
      <c r="P21" s="6">
        <f t="shared" si="3"/>
        <v>26</v>
      </c>
      <c r="Q21" s="6">
        <v>2</v>
      </c>
      <c r="R21" s="8">
        <v>28</v>
      </c>
    </row>
    <row r="22" ht="15.75" spans="1:18">
      <c r="A22" s="3"/>
      <c r="B22" s="6" t="s">
        <v>27</v>
      </c>
      <c r="C22" s="6">
        <f t="shared" si="0"/>
        <v>19</v>
      </c>
      <c r="D22" s="6">
        <v>2</v>
      </c>
      <c r="E22" s="10">
        <v>21</v>
      </c>
      <c r="F22" s="6" t="s">
        <v>27</v>
      </c>
      <c r="G22" s="6">
        <f t="shared" si="1"/>
        <v>21</v>
      </c>
      <c r="H22" s="6">
        <v>4</v>
      </c>
      <c r="I22" s="8">
        <v>25</v>
      </c>
      <c r="J22" s="3"/>
      <c r="K22" s="6" t="s">
        <v>27</v>
      </c>
      <c r="L22" s="6">
        <f t="shared" si="2"/>
        <v>25</v>
      </c>
      <c r="M22" s="7">
        <v>2</v>
      </c>
      <c r="N22" s="8">
        <v>27</v>
      </c>
      <c r="O22" s="6" t="s">
        <v>27</v>
      </c>
      <c r="P22" s="6">
        <f t="shared" si="3"/>
        <v>15</v>
      </c>
      <c r="Q22" s="7">
        <v>3</v>
      </c>
      <c r="R22" s="8">
        <v>18</v>
      </c>
    </row>
    <row r="23" ht="15.75" spans="1:18">
      <c r="A23" s="3"/>
      <c r="B23" s="6" t="s">
        <v>28</v>
      </c>
      <c r="C23" s="6">
        <f t="shared" si="0"/>
        <v>17</v>
      </c>
      <c r="D23" s="6">
        <v>1</v>
      </c>
      <c r="E23" s="10">
        <v>18</v>
      </c>
      <c r="F23" s="6" t="s">
        <v>28</v>
      </c>
      <c r="G23" s="6">
        <f t="shared" si="1"/>
        <v>20</v>
      </c>
      <c r="H23" s="6">
        <v>5</v>
      </c>
      <c r="I23" s="8">
        <v>25</v>
      </c>
      <c r="J23" s="3"/>
      <c r="K23" s="6" t="s">
        <v>28</v>
      </c>
      <c r="L23" s="6">
        <f t="shared" si="2"/>
        <v>18</v>
      </c>
      <c r="M23" s="9">
        <v>1</v>
      </c>
      <c r="N23" s="8">
        <v>19</v>
      </c>
      <c r="O23" s="6" t="s">
        <v>28</v>
      </c>
      <c r="P23" s="6">
        <f t="shared" si="3"/>
        <v>17</v>
      </c>
      <c r="Q23" s="9">
        <v>4</v>
      </c>
      <c r="R23" s="8">
        <v>21</v>
      </c>
    </row>
    <row r="24" ht="15.75" spans="1:18">
      <c r="A24" s="11"/>
      <c r="B24" s="12" t="s">
        <v>29</v>
      </c>
      <c r="C24" s="12">
        <f t="shared" si="0"/>
        <v>17</v>
      </c>
      <c r="D24" s="12">
        <v>2</v>
      </c>
      <c r="E24" s="13">
        <v>19</v>
      </c>
      <c r="F24" s="12" t="s">
        <v>29</v>
      </c>
      <c r="G24" s="12">
        <f t="shared" si="1"/>
        <v>20</v>
      </c>
      <c r="H24" s="12">
        <v>4</v>
      </c>
      <c r="I24" s="20">
        <v>24</v>
      </c>
      <c r="J24" s="11"/>
      <c r="K24" s="12" t="s">
        <v>29</v>
      </c>
      <c r="L24" s="12">
        <f t="shared" si="2"/>
        <v>21</v>
      </c>
      <c r="M24" s="21">
        <v>2</v>
      </c>
      <c r="N24" s="20">
        <v>23</v>
      </c>
      <c r="O24" s="12" t="s">
        <v>29</v>
      </c>
      <c r="P24" s="12">
        <f t="shared" si="3"/>
        <v>24</v>
      </c>
      <c r="Q24" s="7">
        <v>4</v>
      </c>
      <c r="R24" s="8">
        <v>28</v>
      </c>
    </row>
    <row r="25" spans="1:20">
      <c r="A25" s="14" t="s">
        <v>30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6"/>
      <c r="T25" s="27"/>
    </row>
    <row r="26" spans="1:18">
      <c r="A26" s="15" t="s">
        <v>31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20">
      <c r="A27" s="17" t="s">
        <v>2</v>
      </c>
      <c r="B27" s="17"/>
      <c r="C27" s="17"/>
      <c r="D27" s="17"/>
      <c r="E27" s="17"/>
      <c r="F27" s="17"/>
      <c r="G27" s="17"/>
      <c r="H27" s="17" t="s">
        <v>32</v>
      </c>
      <c r="I27" s="17" t="s">
        <v>33</v>
      </c>
      <c r="J27" s="17" t="s">
        <v>3</v>
      </c>
      <c r="K27" s="17"/>
      <c r="L27" s="17"/>
      <c r="M27" s="17"/>
      <c r="N27" s="17"/>
      <c r="O27" s="17"/>
      <c r="P27" s="17"/>
      <c r="Q27" s="28" t="s">
        <v>32</v>
      </c>
      <c r="R27" s="28"/>
      <c r="S27" s="28"/>
      <c r="T27" s="3" t="s">
        <v>33</v>
      </c>
    </row>
    <row r="28" spans="1:20">
      <c r="A28" s="3"/>
      <c r="B28" s="3" t="s">
        <v>34</v>
      </c>
      <c r="C28" s="3"/>
      <c r="D28" s="3"/>
      <c r="E28" s="3" t="s">
        <v>35</v>
      </c>
      <c r="F28" s="3"/>
      <c r="G28" s="3"/>
      <c r="H28" s="3"/>
      <c r="I28" s="3"/>
      <c r="J28" s="3"/>
      <c r="K28" s="3" t="s">
        <v>34</v>
      </c>
      <c r="L28" s="3"/>
      <c r="M28" s="3"/>
      <c r="N28" s="3" t="s">
        <v>35</v>
      </c>
      <c r="O28" s="3"/>
      <c r="P28" s="3"/>
      <c r="Q28" s="3" t="s">
        <v>36</v>
      </c>
      <c r="R28" s="28" t="s">
        <v>37</v>
      </c>
      <c r="S28" s="28" t="s">
        <v>37</v>
      </c>
      <c r="T28" s="3"/>
    </row>
    <row r="29" spans="1:20">
      <c r="A29" s="3" t="s">
        <v>38</v>
      </c>
      <c r="B29" s="3">
        <v>0.627</v>
      </c>
      <c r="C29" s="3">
        <v>0.642</v>
      </c>
      <c r="D29" s="3">
        <v>0.639</v>
      </c>
      <c r="E29" s="3">
        <v>0.632</v>
      </c>
      <c r="F29" s="3">
        <v>0.648</v>
      </c>
      <c r="G29" s="3">
        <v>0.644</v>
      </c>
      <c r="H29" s="3"/>
      <c r="I29" s="3"/>
      <c r="J29" s="3" t="s">
        <v>38</v>
      </c>
      <c r="K29" s="3">
        <v>0.627</v>
      </c>
      <c r="L29" s="3">
        <v>0.642</v>
      </c>
      <c r="M29" s="3">
        <v>0.639</v>
      </c>
      <c r="N29" s="3">
        <v>0.632</v>
      </c>
      <c r="O29" s="3">
        <v>0.648</v>
      </c>
      <c r="P29" s="3">
        <v>0.644</v>
      </c>
      <c r="Q29" s="3"/>
      <c r="R29" s="28"/>
      <c r="S29" s="28"/>
      <c r="T29" s="3"/>
    </row>
    <row r="30" spans="1:20">
      <c r="A30" s="3" t="s">
        <v>1</v>
      </c>
      <c r="B30" s="3" t="s">
        <v>39</v>
      </c>
      <c r="C30" s="3"/>
      <c r="D30" s="3"/>
      <c r="E30" s="3" t="s">
        <v>40</v>
      </c>
      <c r="F30" s="3"/>
      <c r="G30" s="3"/>
      <c r="H30" s="3"/>
      <c r="I30" s="3"/>
      <c r="J30" s="3" t="s">
        <v>1</v>
      </c>
      <c r="K30" s="3" t="s">
        <v>39</v>
      </c>
      <c r="L30" s="3"/>
      <c r="M30" s="3"/>
      <c r="N30" s="3" t="s">
        <v>40</v>
      </c>
      <c r="O30" s="3"/>
      <c r="P30" s="3"/>
      <c r="Q30" s="3"/>
      <c r="R30" s="28"/>
      <c r="S30" s="28"/>
      <c r="T30" s="3"/>
    </row>
    <row r="31" spans="1:20">
      <c r="A31" s="3" t="s">
        <v>41</v>
      </c>
      <c r="B31" s="3">
        <v>0.905</v>
      </c>
      <c r="C31" s="3">
        <v>0.827</v>
      </c>
      <c r="D31" s="3">
        <v>0.838</v>
      </c>
      <c r="E31" s="3">
        <v>1.004</v>
      </c>
      <c r="F31" s="3">
        <v>0.919</v>
      </c>
      <c r="G31" s="18">
        <v>0.92</v>
      </c>
      <c r="H31" s="9">
        <v>0.013</v>
      </c>
      <c r="I31" s="3">
        <v>3</v>
      </c>
      <c r="J31" s="3" t="s">
        <v>41</v>
      </c>
      <c r="K31" s="3">
        <v>0.714</v>
      </c>
      <c r="L31" s="3">
        <v>0.717</v>
      </c>
      <c r="M31" s="3">
        <v>0.723</v>
      </c>
      <c r="N31" s="3">
        <v>0.735</v>
      </c>
      <c r="O31" s="3">
        <v>0.73</v>
      </c>
      <c r="P31" s="3">
        <v>0.734</v>
      </c>
      <c r="Q31" s="9">
        <v>0.0061</v>
      </c>
      <c r="R31" s="9">
        <v>0.0063</v>
      </c>
      <c r="S31" s="9">
        <v>0.0059</v>
      </c>
      <c r="T31" s="3">
        <v>3</v>
      </c>
    </row>
    <row r="32" spans="1:20">
      <c r="A32" s="3" t="s">
        <v>42</v>
      </c>
      <c r="B32" s="3">
        <v>0.762</v>
      </c>
      <c r="C32" s="18">
        <v>0.733</v>
      </c>
      <c r="D32" s="3">
        <v>0.717</v>
      </c>
      <c r="E32" s="3">
        <v>0.816</v>
      </c>
      <c r="F32" s="18">
        <v>0.779</v>
      </c>
      <c r="G32" s="3">
        <v>0.75</v>
      </c>
      <c r="H32" s="3">
        <v>0.007</v>
      </c>
      <c r="I32" s="3">
        <v>3</v>
      </c>
      <c r="J32" s="3" t="s">
        <v>42</v>
      </c>
      <c r="K32" s="3">
        <v>0.716</v>
      </c>
      <c r="L32" s="18">
        <v>0.718</v>
      </c>
      <c r="M32" s="3">
        <v>0.717</v>
      </c>
      <c r="N32" s="3">
        <v>0.742</v>
      </c>
      <c r="O32" s="18">
        <v>0.751</v>
      </c>
      <c r="P32" s="3">
        <v>0.754</v>
      </c>
      <c r="Q32" s="3">
        <v>0.011</v>
      </c>
      <c r="R32" s="28">
        <v>0.0107</v>
      </c>
      <c r="S32" s="29">
        <v>0.0112</v>
      </c>
      <c r="T32" s="3">
        <v>3</v>
      </c>
    </row>
    <row r="33" spans="1:20">
      <c r="A33" s="3" t="s">
        <v>43</v>
      </c>
      <c r="B33" s="3">
        <v>0.669</v>
      </c>
      <c r="C33" s="3">
        <v>0.717</v>
      </c>
      <c r="D33" s="3">
        <v>0.706</v>
      </c>
      <c r="E33" s="3">
        <v>0.743</v>
      </c>
      <c r="F33" s="3">
        <v>0.784</v>
      </c>
      <c r="G33" s="3">
        <v>0.769</v>
      </c>
      <c r="H33" s="3">
        <v>0.007</v>
      </c>
      <c r="I33" s="3">
        <v>3</v>
      </c>
      <c r="J33" s="3" t="s">
        <v>43</v>
      </c>
      <c r="K33" s="3">
        <v>0.633</v>
      </c>
      <c r="L33" s="3">
        <v>0.644</v>
      </c>
      <c r="M33" s="3">
        <v>0.645</v>
      </c>
      <c r="N33" s="3">
        <v>0.686</v>
      </c>
      <c r="O33" s="3">
        <v>0.691</v>
      </c>
      <c r="P33" s="3">
        <v>0.691</v>
      </c>
      <c r="Q33" s="3">
        <v>0.0084</v>
      </c>
      <c r="R33" s="28">
        <v>0.0081</v>
      </c>
      <c r="S33" s="28">
        <v>0.0078</v>
      </c>
      <c r="T33" s="3">
        <v>3</v>
      </c>
    </row>
    <row r="34" spans="1:20">
      <c r="A34" s="3" t="s">
        <v>44</v>
      </c>
      <c r="B34" s="3">
        <v>0.632</v>
      </c>
      <c r="C34" s="3">
        <v>0.664</v>
      </c>
      <c r="D34" s="3">
        <v>0.663</v>
      </c>
      <c r="E34" s="3">
        <v>0.689</v>
      </c>
      <c r="F34" s="18">
        <v>0.724</v>
      </c>
      <c r="G34" s="3">
        <v>0.723</v>
      </c>
      <c r="H34" s="3">
        <v>0.008</v>
      </c>
      <c r="I34" s="3">
        <v>3</v>
      </c>
      <c r="J34" s="3" t="s">
        <v>44</v>
      </c>
      <c r="K34" s="3">
        <v>0.657</v>
      </c>
      <c r="L34" s="3">
        <v>0.649</v>
      </c>
      <c r="M34" s="3">
        <v>0.683</v>
      </c>
      <c r="N34" s="3">
        <v>0.74</v>
      </c>
      <c r="O34" s="3">
        <v>0.726</v>
      </c>
      <c r="P34" s="3">
        <v>0.757</v>
      </c>
      <c r="Q34" s="3">
        <v>0.0105</v>
      </c>
      <c r="R34" s="28">
        <v>0.0101</v>
      </c>
      <c r="S34" s="28">
        <v>0.0097</v>
      </c>
      <c r="T34" s="3">
        <v>3</v>
      </c>
    </row>
    <row r="35" spans="1:20">
      <c r="A35" s="3" t="s">
        <v>4</v>
      </c>
      <c r="B35" s="3" t="s">
        <v>39</v>
      </c>
      <c r="C35" s="3"/>
      <c r="D35" s="3"/>
      <c r="E35" s="3" t="s">
        <v>40</v>
      </c>
      <c r="F35" s="3"/>
      <c r="G35" s="3"/>
      <c r="H35" s="3"/>
      <c r="I35" s="3"/>
      <c r="J35" s="3" t="s">
        <v>4</v>
      </c>
      <c r="K35" s="3" t="s">
        <v>39</v>
      </c>
      <c r="L35" s="3"/>
      <c r="M35" s="3"/>
      <c r="N35" s="3" t="s">
        <v>40</v>
      </c>
      <c r="O35" s="3"/>
      <c r="P35" s="3"/>
      <c r="Q35" s="3"/>
      <c r="R35" s="28"/>
      <c r="S35" s="28"/>
      <c r="T35" s="3"/>
    </row>
    <row r="36" spans="1:20">
      <c r="A36" s="3" t="s">
        <v>42</v>
      </c>
      <c r="B36" s="3">
        <v>0.75</v>
      </c>
      <c r="C36" s="18">
        <v>0.775</v>
      </c>
      <c r="D36" s="3">
        <v>0.745</v>
      </c>
      <c r="E36" s="3">
        <v>0.827</v>
      </c>
      <c r="F36" s="3">
        <v>0.851</v>
      </c>
      <c r="G36" s="3">
        <v>0.811</v>
      </c>
      <c r="H36" s="3">
        <v>0.009</v>
      </c>
      <c r="I36" s="3">
        <v>3</v>
      </c>
      <c r="J36" s="3" t="s">
        <v>42</v>
      </c>
      <c r="K36" s="3">
        <v>0.688</v>
      </c>
      <c r="L36" s="18">
        <v>0.717</v>
      </c>
      <c r="M36" s="3">
        <v>0.725</v>
      </c>
      <c r="N36" s="3">
        <v>0.73</v>
      </c>
      <c r="O36" s="3">
        <v>0.76</v>
      </c>
      <c r="P36" s="3">
        <v>0.777</v>
      </c>
      <c r="Q36" s="3">
        <v>0.0112</v>
      </c>
      <c r="R36" s="28">
        <v>0.0111</v>
      </c>
      <c r="S36" s="28">
        <v>0.0098</v>
      </c>
      <c r="T36" s="3">
        <v>3</v>
      </c>
    </row>
    <row r="37" spans="1:20">
      <c r="A37" s="3" t="s">
        <v>43</v>
      </c>
      <c r="B37" s="3">
        <v>0.674</v>
      </c>
      <c r="C37" s="3">
        <v>0.674</v>
      </c>
      <c r="D37" s="3">
        <v>0.73</v>
      </c>
      <c r="E37" s="3">
        <v>0.74</v>
      </c>
      <c r="F37" s="3">
        <v>0.734</v>
      </c>
      <c r="G37" s="3">
        <v>0.8</v>
      </c>
      <c r="H37" s="3">
        <v>0.01</v>
      </c>
      <c r="I37" s="3">
        <v>3</v>
      </c>
      <c r="J37" s="3" t="s">
        <v>43</v>
      </c>
      <c r="K37" s="3">
        <v>0.623</v>
      </c>
      <c r="L37" s="3">
        <v>0.63</v>
      </c>
      <c r="M37" s="3">
        <v>0.636</v>
      </c>
      <c r="N37" s="3">
        <v>0.668</v>
      </c>
      <c r="O37" s="3">
        <v>0.673</v>
      </c>
      <c r="P37" s="3">
        <v>0.683</v>
      </c>
      <c r="Q37" s="3">
        <v>0.011</v>
      </c>
      <c r="R37" s="28">
        <v>0.0097</v>
      </c>
      <c r="S37" s="28">
        <v>0.0112</v>
      </c>
      <c r="T37" s="3">
        <v>3</v>
      </c>
    </row>
    <row r="38" spans="1:20">
      <c r="A38" s="11" t="s">
        <v>44</v>
      </c>
      <c r="B38" s="11">
        <v>0.645</v>
      </c>
      <c r="C38" s="11">
        <v>0.595</v>
      </c>
      <c r="D38" s="11">
        <v>0.617</v>
      </c>
      <c r="E38" s="11">
        <v>0.692</v>
      </c>
      <c r="F38" s="11">
        <v>0.645</v>
      </c>
      <c r="G38" s="11">
        <v>0.661</v>
      </c>
      <c r="H38" s="11">
        <v>0.012</v>
      </c>
      <c r="I38" s="11">
        <v>3</v>
      </c>
      <c r="J38" s="11" t="s">
        <v>44</v>
      </c>
      <c r="K38" s="11">
        <v>0.657</v>
      </c>
      <c r="L38" s="11">
        <v>0.651</v>
      </c>
      <c r="M38" s="11">
        <v>0.718</v>
      </c>
      <c r="N38" s="11">
        <v>0.73</v>
      </c>
      <c r="O38" s="11">
        <v>0.721</v>
      </c>
      <c r="P38" s="11">
        <v>0.79</v>
      </c>
      <c r="Q38" s="3">
        <v>0.0077</v>
      </c>
      <c r="R38" s="28">
        <v>0.0081</v>
      </c>
      <c r="S38" s="28">
        <v>0.0082</v>
      </c>
      <c r="T38" s="11">
        <v>3</v>
      </c>
    </row>
    <row r="39" spans="1:18">
      <c r="A39" s="15" t="s">
        <v>45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20">
      <c r="A40" s="17" t="s">
        <v>2</v>
      </c>
      <c r="B40" s="17"/>
      <c r="C40" s="17"/>
      <c r="D40" s="17"/>
      <c r="E40" s="17"/>
      <c r="F40" s="17"/>
      <c r="G40" s="17"/>
      <c r="H40" s="17" t="s">
        <v>32</v>
      </c>
      <c r="I40" s="17" t="s">
        <v>33</v>
      </c>
      <c r="J40" s="17" t="s">
        <v>3</v>
      </c>
      <c r="K40" s="17"/>
      <c r="L40" s="17"/>
      <c r="M40" s="17"/>
      <c r="N40" s="17"/>
      <c r="O40" s="17"/>
      <c r="P40" s="17"/>
      <c r="Q40" s="28" t="s">
        <v>32</v>
      </c>
      <c r="R40" s="28"/>
      <c r="S40" s="28"/>
      <c r="T40" s="3" t="s">
        <v>33</v>
      </c>
    </row>
    <row r="41" spans="1:20">
      <c r="A41" s="3"/>
      <c r="B41" s="3" t="s">
        <v>46</v>
      </c>
      <c r="C41" s="3"/>
      <c r="D41" s="3"/>
      <c r="E41" s="3" t="s">
        <v>47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 t="s">
        <v>36</v>
      </c>
      <c r="R41" s="28" t="s">
        <v>37</v>
      </c>
      <c r="S41" s="28" t="s">
        <v>37</v>
      </c>
      <c r="T41" s="3"/>
    </row>
    <row r="42" spans="1:20">
      <c r="A42" s="3" t="s">
        <v>38</v>
      </c>
      <c r="B42" s="3">
        <v>0.51</v>
      </c>
      <c r="C42" s="3">
        <v>0.572</v>
      </c>
      <c r="D42" s="3">
        <v>0.553</v>
      </c>
      <c r="E42" s="3">
        <v>0.247</v>
      </c>
      <c r="F42" s="3">
        <v>0.224</v>
      </c>
      <c r="G42" s="3">
        <v>0.237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28"/>
      <c r="S42" s="28"/>
      <c r="T42" s="3"/>
    </row>
    <row r="43" spans="1:20">
      <c r="A43" s="3" t="s">
        <v>1</v>
      </c>
      <c r="B43" s="3" t="s">
        <v>48</v>
      </c>
      <c r="C43" s="3"/>
      <c r="D43" s="3"/>
      <c r="E43" s="3" t="s">
        <v>49</v>
      </c>
      <c r="F43" s="3"/>
      <c r="G43" s="3"/>
      <c r="H43" s="3"/>
      <c r="I43" s="3"/>
      <c r="J43" s="3" t="s">
        <v>1</v>
      </c>
      <c r="K43" s="3" t="s">
        <v>48</v>
      </c>
      <c r="L43" s="3"/>
      <c r="M43" s="3"/>
      <c r="N43" s="3" t="s">
        <v>49</v>
      </c>
      <c r="O43" s="3"/>
      <c r="P43" s="3"/>
      <c r="Q43" s="3"/>
      <c r="R43" s="28"/>
      <c r="S43" s="28"/>
      <c r="T43" s="3"/>
    </row>
    <row r="44" spans="1:20">
      <c r="A44" s="3" t="s">
        <v>41</v>
      </c>
      <c r="B44" s="3">
        <v>0.471</v>
      </c>
      <c r="C44" s="3">
        <v>0.458</v>
      </c>
      <c r="D44" s="3">
        <v>0.436</v>
      </c>
      <c r="E44" s="3">
        <v>0.296</v>
      </c>
      <c r="F44" s="3">
        <v>0.304</v>
      </c>
      <c r="G44" s="3">
        <v>0.279</v>
      </c>
      <c r="H44" s="9">
        <v>0.013</v>
      </c>
      <c r="I44" s="3">
        <v>3</v>
      </c>
      <c r="J44" s="3" t="s">
        <v>41</v>
      </c>
      <c r="K44" s="3">
        <v>0.405</v>
      </c>
      <c r="L44" s="3">
        <v>0.478</v>
      </c>
      <c r="M44" s="3">
        <v>0.463</v>
      </c>
      <c r="N44" s="3">
        <v>0.217</v>
      </c>
      <c r="O44" s="3">
        <v>0.302</v>
      </c>
      <c r="P44" s="3">
        <v>0.254</v>
      </c>
      <c r="Q44" s="9">
        <v>0.0061</v>
      </c>
      <c r="R44" s="9">
        <v>0.0063</v>
      </c>
      <c r="S44" s="9">
        <v>0.0059</v>
      </c>
      <c r="T44" s="3">
        <v>3</v>
      </c>
    </row>
    <row r="45" spans="1:20">
      <c r="A45" s="3" t="s">
        <v>42</v>
      </c>
      <c r="B45" s="3">
        <v>0.456</v>
      </c>
      <c r="C45" s="3">
        <v>0.461</v>
      </c>
      <c r="D45" s="3">
        <v>0.464</v>
      </c>
      <c r="E45" s="3">
        <v>0.301</v>
      </c>
      <c r="F45" s="3">
        <v>0.317</v>
      </c>
      <c r="G45" s="3">
        <v>0.278</v>
      </c>
      <c r="H45" s="3">
        <v>0.007</v>
      </c>
      <c r="I45" s="3">
        <v>3</v>
      </c>
      <c r="J45" s="3" t="s">
        <v>42</v>
      </c>
      <c r="K45" s="3">
        <v>0.426</v>
      </c>
      <c r="L45" s="3">
        <v>0.381</v>
      </c>
      <c r="M45" s="3">
        <v>0.425</v>
      </c>
      <c r="N45" s="3">
        <v>0.244</v>
      </c>
      <c r="O45" s="3">
        <v>0.262</v>
      </c>
      <c r="P45" s="3">
        <v>0.26</v>
      </c>
      <c r="Q45" s="3">
        <v>0.011</v>
      </c>
      <c r="R45" s="28">
        <v>0.0107</v>
      </c>
      <c r="S45" s="29">
        <v>0.0112</v>
      </c>
      <c r="T45" s="3">
        <v>3</v>
      </c>
    </row>
    <row r="46" spans="1:20">
      <c r="A46" s="3" t="s">
        <v>43</v>
      </c>
      <c r="B46" s="3">
        <v>0.383</v>
      </c>
      <c r="C46" s="3">
        <v>0.361</v>
      </c>
      <c r="D46" s="3">
        <v>0.387</v>
      </c>
      <c r="E46" s="3">
        <v>0.173</v>
      </c>
      <c r="F46" s="3">
        <v>0.215</v>
      </c>
      <c r="G46" s="3">
        <v>0.208</v>
      </c>
      <c r="H46" s="3">
        <v>0.007</v>
      </c>
      <c r="I46" s="3">
        <v>3</v>
      </c>
      <c r="J46" s="3" t="s">
        <v>43</v>
      </c>
      <c r="K46" s="3">
        <v>0.427</v>
      </c>
      <c r="L46" s="3">
        <v>0.449</v>
      </c>
      <c r="M46" s="3">
        <v>0.379</v>
      </c>
      <c r="N46" s="3">
        <v>0.231</v>
      </c>
      <c r="O46" s="3">
        <v>0.239</v>
      </c>
      <c r="P46" s="3">
        <v>0.191</v>
      </c>
      <c r="Q46" s="3">
        <v>0.0084</v>
      </c>
      <c r="R46" s="28">
        <v>0.0081</v>
      </c>
      <c r="S46" s="28">
        <v>0.0078</v>
      </c>
      <c r="T46" s="3">
        <v>3</v>
      </c>
    </row>
    <row r="47" spans="1:20">
      <c r="A47" s="3" t="s">
        <v>44</v>
      </c>
      <c r="B47" s="3">
        <v>0.247</v>
      </c>
      <c r="C47" s="3">
        <v>0.252</v>
      </c>
      <c r="D47" s="3">
        <v>0.257</v>
      </c>
      <c r="E47" s="3">
        <v>0.129</v>
      </c>
      <c r="F47" s="3">
        <v>0.121</v>
      </c>
      <c r="G47" s="3">
        <v>0.113</v>
      </c>
      <c r="H47" s="3">
        <v>0.008</v>
      </c>
      <c r="I47" s="3">
        <v>3</v>
      </c>
      <c r="J47" s="3" t="s">
        <v>44</v>
      </c>
      <c r="K47" s="3">
        <v>0.31</v>
      </c>
      <c r="L47" s="3">
        <v>0.295</v>
      </c>
      <c r="M47" s="3">
        <v>0.313</v>
      </c>
      <c r="N47" s="3">
        <v>0.129</v>
      </c>
      <c r="O47" s="3">
        <v>0.112</v>
      </c>
      <c r="P47" s="3">
        <v>0.109</v>
      </c>
      <c r="Q47" s="3">
        <v>0.0105</v>
      </c>
      <c r="R47" s="28">
        <v>0.0101</v>
      </c>
      <c r="S47" s="28">
        <v>0.0097</v>
      </c>
      <c r="T47" s="3">
        <v>3</v>
      </c>
    </row>
    <row r="48" spans="1:20">
      <c r="A48" s="3" t="s">
        <v>4</v>
      </c>
      <c r="B48" s="3"/>
      <c r="C48" s="3"/>
      <c r="D48" s="3"/>
      <c r="E48" s="3"/>
      <c r="F48" s="3"/>
      <c r="G48" s="3"/>
      <c r="H48" s="3"/>
      <c r="I48" s="3"/>
      <c r="J48" s="3" t="s">
        <v>4</v>
      </c>
      <c r="K48" s="3"/>
      <c r="L48" s="3"/>
      <c r="M48" s="3"/>
      <c r="N48" s="3"/>
      <c r="O48" s="3"/>
      <c r="P48" s="3"/>
      <c r="Q48" s="3"/>
      <c r="R48" s="28"/>
      <c r="S48" s="28"/>
      <c r="T48" s="3"/>
    </row>
    <row r="49" spans="1:20">
      <c r="A49" s="3" t="s">
        <v>42</v>
      </c>
      <c r="B49" s="3">
        <v>0.398</v>
      </c>
      <c r="C49" s="3">
        <v>0.426</v>
      </c>
      <c r="D49" s="3">
        <v>0.456</v>
      </c>
      <c r="E49" s="3">
        <v>0.283</v>
      </c>
      <c r="F49" s="3">
        <v>0.304</v>
      </c>
      <c r="G49" s="3">
        <v>0.314</v>
      </c>
      <c r="H49" s="3">
        <v>0.009</v>
      </c>
      <c r="I49" s="3">
        <v>3</v>
      </c>
      <c r="J49" s="3" t="s">
        <v>42</v>
      </c>
      <c r="K49" s="3">
        <v>0.507</v>
      </c>
      <c r="L49" s="3">
        <v>0.451</v>
      </c>
      <c r="M49" s="3">
        <v>0.491</v>
      </c>
      <c r="N49" s="3">
        <v>0.323</v>
      </c>
      <c r="O49" s="3">
        <v>0.314</v>
      </c>
      <c r="P49" s="3">
        <v>0.282</v>
      </c>
      <c r="Q49" s="3">
        <v>0.0112</v>
      </c>
      <c r="R49" s="28">
        <v>0.0111</v>
      </c>
      <c r="S49" s="28">
        <v>0.0098</v>
      </c>
      <c r="T49" s="3">
        <v>3</v>
      </c>
    </row>
    <row r="50" spans="1:20">
      <c r="A50" s="3" t="s">
        <v>43</v>
      </c>
      <c r="B50" s="3">
        <v>0.367</v>
      </c>
      <c r="C50" s="3">
        <v>0.443</v>
      </c>
      <c r="D50" s="3">
        <v>0.371</v>
      </c>
      <c r="E50" s="3">
        <v>0.188</v>
      </c>
      <c r="F50" s="3">
        <v>0.232</v>
      </c>
      <c r="G50" s="3">
        <v>0.195</v>
      </c>
      <c r="H50" s="3">
        <v>0.01</v>
      </c>
      <c r="I50" s="3">
        <v>3</v>
      </c>
      <c r="J50" s="3" t="s">
        <v>43</v>
      </c>
      <c r="K50" s="3">
        <v>0.45</v>
      </c>
      <c r="L50" s="3">
        <v>0.459</v>
      </c>
      <c r="M50" s="3">
        <v>0.394</v>
      </c>
      <c r="N50" s="3">
        <v>0.228</v>
      </c>
      <c r="O50" s="3">
        <v>0.196</v>
      </c>
      <c r="P50" s="3">
        <v>0.19</v>
      </c>
      <c r="Q50" s="3">
        <v>0.011</v>
      </c>
      <c r="R50" s="28">
        <v>0.0097</v>
      </c>
      <c r="S50" s="28">
        <v>0.0112</v>
      </c>
      <c r="T50" s="3">
        <v>3</v>
      </c>
    </row>
    <row r="51" spans="1:20">
      <c r="A51" s="11" t="s">
        <v>44</v>
      </c>
      <c r="B51" s="11">
        <v>0.268</v>
      </c>
      <c r="C51" s="11">
        <v>0.366</v>
      </c>
      <c r="D51" s="11">
        <v>0.297</v>
      </c>
      <c r="E51" s="11">
        <v>0.102</v>
      </c>
      <c r="F51" s="11">
        <v>0.156</v>
      </c>
      <c r="G51" s="11">
        <v>0.134</v>
      </c>
      <c r="H51" s="11">
        <v>0.012</v>
      </c>
      <c r="I51" s="11">
        <v>3</v>
      </c>
      <c r="J51" s="11" t="s">
        <v>44</v>
      </c>
      <c r="K51" s="11">
        <v>0.339</v>
      </c>
      <c r="L51" s="11">
        <v>0.296</v>
      </c>
      <c r="M51" s="11">
        <v>0.363</v>
      </c>
      <c r="N51" s="11">
        <v>0.201</v>
      </c>
      <c r="O51" s="11">
        <v>0.189</v>
      </c>
      <c r="P51" s="11">
        <v>0.195</v>
      </c>
      <c r="Q51" s="3">
        <v>0.0077</v>
      </c>
      <c r="R51" s="28">
        <v>0.0081</v>
      </c>
      <c r="S51" s="28">
        <v>0.0082</v>
      </c>
      <c r="T51" s="11">
        <v>3</v>
      </c>
    </row>
    <row r="52" spans="1:18">
      <c r="A52" s="15" t="s">
        <v>50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spans="1:20">
      <c r="A53" s="17" t="s">
        <v>2</v>
      </c>
      <c r="B53" s="17"/>
      <c r="C53" s="17"/>
      <c r="D53" s="17"/>
      <c r="E53" s="17"/>
      <c r="F53" s="17"/>
      <c r="G53" s="17"/>
      <c r="H53" s="17" t="s">
        <v>32</v>
      </c>
      <c r="I53" s="17" t="s">
        <v>33</v>
      </c>
      <c r="J53" s="17" t="s">
        <v>3</v>
      </c>
      <c r="K53" s="17"/>
      <c r="L53" s="17"/>
      <c r="M53" s="17"/>
      <c r="N53" s="17"/>
      <c r="O53" s="17"/>
      <c r="P53" s="22"/>
      <c r="Q53" s="28" t="s">
        <v>32</v>
      </c>
      <c r="R53" s="28"/>
      <c r="S53" s="28"/>
      <c r="T53" s="3" t="s">
        <v>33</v>
      </c>
    </row>
    <row r="54" spans="1:20">
      <c r="A54" s="3" t="s">
        <v>1</v>
      </c>
      <c r="B54" s="3" t="s">
        <v>34</v>
      </c>
      <c r="C54" s="3"/>
      <c r="D54" s="3"/>
      <c r="E54" s="3" t="s">
        <v>35</v>
      </c>
      <c r="F54" s="3"/>
      <c r="G54" s="3"/>
      <c r="H54" s="3"/>
      <c r="I54" s="3"/>
      <c r="J54" s="3" t="s">
        <v>1</v>
      </c>
      <c r="K54" s="3" t="s">
        <v>34</v>
      </c>
      <c r="L54" s="3"/>
      <c r="M54" s="3"/>
      <c r="N54" s="3" t="s">
        <v>35</v>
      </c>
      <c r="O54" s="3"/>
      <c r="P54" s="23"/>
      <c r="Q54" s="3" t="s">
        <v>36</v>
      </c>
      <c r="R54" s="28" t="s">
        <v>37</v>
      </c>
      <c r="S54" s="28" t="s">
        <v>37</v>
      </c>
      <c r="T54" s="3"/>
    </row>
    <row r="55" spans="1:20">
      <c r="A55" s="3" t="s">
        <v>41</v>
      </c>
      <c r="B55" s="3">
        <v>0.109</v>
      </c>
      <c r="C55" s="3">
        <v>0.0958</v>
      </c>
      <c r="D55" s="3">
        <v>0.092</v>
      </c>
      <c r="E55" s="3">
        <v>0.11</v>
      </c>
      <c r="F55" s="3">
        <v>0.097</v>
      </c>
      <c r="G55" s="3">
        <v>0.093</v>
      </c>
      <c r="H55" s="9">
        <v>0.013</v>
      </c>
      <c r="I55" s="3">
        <v>3</v>
      </c>
      <c r="J55" s="3" t="s">
        <v>41</v>
      </c>
      <c r="K55" s="3">
        <v>0.109</v>
      </c>
      <c r="L55" s="3">
        <v>0.106</v>
      </c>
      <c r="M55" s="3">
        <v>0.112</v>
      </c>
      <c r="N55" s="3">
        <v>0.116</v>
      </c>
      <c r="O55" s="3">
        <v>0.116</v>
      </c>
      <c r="P55" s="23">
        <v>0.121</v>
      </c>
      <c r="Q55" s="9">
        <v>0.0061</v>
      </c>
      <c r="R55" s="9">
        <v>0.0063</v>
      </c>
      <c r="S55" s="9">
        <v>0.0059</v>
      </c>
      <c r="T55" s="3">
        <v>3</v>
      </c>
    </row>
    <row r="56" spans="1:20">
      <c r="A56" s="3" t="s">
        <v>42</v>
      </c>
      <c r="B56" s="3">
        <v>0.133</v>
      </c>
      <c r="C56" s="3">
        <v>0.114</v>
      </c>
      <c r="D56" s="3">
        <v>0.1</v>
      </c>
      <c r="E56" s="3">
        <v>0.151</v>
      </c>
      <c r="F56" s="3">
        <v>0.125</v>
      </c>
      <c r="G56" s="3">
        <v>0.117</v>
      </c>
      <c r="H56" s="3">
        <v>0.007</v>
      </c>
      <c r="I56" s="3">
        <v>3</v>
      </c>
      <c r="J56" s="3" t="s">
        <v>42</v>
      </c>
      <c r="K56" s="3">
        <v>0.235</v>
      </c>
      <c r="L56" s="3">
        <v>0.12</v>
      </c>
      <c r="M56" s="3">
        <v>0.11</v>
      </c>
      <c r="N56" s="3">
        <v>0.246</v>
      </c>
      <c r="O56" s="3">
        <v>0.134</v>
      </c>
      <c r="P56" s="23">
        <v>0.118</v>
      </c>
      <c r="Q56" s="3">
        <v>0.011</v>
      </c>
      <c r="R56" s="28">
        <v>0.0107</v>
      </c>
      <c r="S56" s="29">
        <v>0.0112</v>
      </c>
      <c r="T56" s="3">
        <v>3</v>
      </c>
    </row>
    <row r="57" spans="1:20">
      <c r="A57" s="3" t="s">
        <v>43</v>
      </c>
      <c r="B57" s="3">
        <v>0.119</v>
      </c>
      <c r="C57" s="3">
        <v>0.113</v>
      </c>
      <c r="D57" s="3">
        <v>0.154</v>
      </c>
      <c r="E57" s="3">
        <v>0.187</v>
      </c>
      <c r="F57" s="3">
        <v>0.177</v>
      </c>
      <c r="G57" s="3">
        <v>0.224</v>
      </c>
      <c r="H57" s="3">
        <v>0.007</v>
      </c>
      <c r="I57" s="3">
        <v>3</v>
      </c>
      <c r="J57" s="3" t="s">
        <v>43</v>
      </c>
      <c r="K57" s="3">
        <v>0.128</v>
      </c>
      <c r="L57" s="3">
        <v>0.134</v>
      </c>
      <c r="M57" s="3">
        <v>0.21</v>
      </c>
      <c r="N57" s="3">
        <v>0.148</v>
      </c>
      <c r="O57" s="3">
        <v>0.157</v>
      </c>
      <c r="P57" s="23">
        <v>0.231</v>
      </c>
      <c r="Q57" s="3">
        <v>0.0084</v>
      </c>
      <c r="R57" s="28">
        <v>0.0081</v>
      </c>
      <c r="S57" s="28">
        <v>0.0078</v>
      </c>
      <c r="T57" s="3">
        <v>3</v>
      </c>
    </row>
    <row r="58" spans="1:20">
      <c r="A58" s="3" t="s">
        <v>44</v>
      </c>
      <c r="B58" s="3">
        <v>0.132</v>
      </c>
      <c r="C58" s="3">
        <v>0.168</v>
      </c>
      <c r="D58" s="3">
        <v>0.131</v>
      </c>
      <c r="E58" s="3">
        <v>0.15</v>
      </c>
      <c r="F58" s="3">
        <v>0.19</v>
      </c>
      <c r="G58" s="3">
        <v>0.142</v>
      </c>
      <c r="H58" s="3">
        <v>0.008</v>
      </c>
      <c r="I58" s="3">
        <v>3</v>
      </c>
      <c r="J58" s="3" t="s">
        <v>44</v>
      </c>
      <c r="K58" s="3">
        <v>0.144</v>
      </c>
      <c r="L58" s="3">
        <v>0.149</v>
      </c>
      <c r="M58" s="3">
        <v>0.155</v>
      </c>
      <c r="N58" s="3">
        <v>0.154</v>
      </c>
      <c r="O58" s="3">
        <v>0.162</v>
      </c>
      <c r="P58" s="23">
        <v>0.169</v>
      </c>
      <c r="Q58" s="3">
        <v>0.0105</v>
      </c>
      <c r="R58" s="28">
        <v>0.0101</v>
      </c>
      <c r="S58" s="28">
        <v>0.0097</v>
      </c>
      <c r="T58" s="3">
        <v>3</v>
      </c>
    </row>
    <row r="59" spans="1:20">
      <c r="A59" s="3"/>
      <c r="B59" s="3"/>
      <c r="C59" s="3"/>
      <c r="D59" s="3"/>
      <c r="E59" s="3"/>
      <c r="F59" s="3"/>
      <c r="G59" s="3"/>
      <c r="J59" s="3"/>
      <c r="K59" s="3"/>
      <c r="L59" s="3"/>
      <c r="M59" s="3"/>
      <c r="N59" s="3"/>
      <c r="O59" s="3"/>
      <c r="P59" s="23"/>
      <c r="Q59" s="30"/>
      <c r="R59" s="30"/>
      <c r="S59" s="30"/>
      <c r="T59" s="30"/>
    </row>
    <row r="60" spans="1:20">
      <c r="A60" s="3" t="s">
        <v>4</v>
      </c>
      <c r="B60" s="3"/>
      <c r="C60" s="3"/>
      <c r="D60" s="3"/>
      <c r="E60" s="3"/>
      <c r="F60" s="3"/>
      <c r="G60" s="3"/>
      <c r="J60" s="3" t="s">
        <v>4</v>
      </c>
      <c r="K60" s="3"/>
      <c r="L60" s="3"/>
      <c r="M60" s="3"/>
      <c r="N60" s="3"/>
      <c r="O60" s="3"/>
      <c r="P60" s="23"/>
      <c r="Q60" s="30"/>
      <c r="R60" s="30"/>
      <c r="S60" s="30"/>
      <c r="T60" s="30"/>
    </row>
    <row r="61" spans="1:20">
      <c r="A61" s="3" t="s">
        <v>42</v>
      </c>
      <c r="B61" s="3">
        <v>0.098</v>
      </c>
      <c r="C61" s="3">
        <v>0.108</v>
      </c>
      <c r="D61" s="3">
        <v>0.141</v>
      </c>
      <c r="E61" s="3">
        <v>0.101</v>
      </c>
      <c r="F61" s="3">
        <v>0.115</v>
      </c>
      <c r="G61" s="3">
        <v>0.147</v>
      </c>
      <c r="H61" s="3">
        <v>0.009</v>
      </c>
      <c r="I61" s="3">
        <v>3</v>
      </c>
      <c r="J61" s="3" t="s">
        <v>42</v>
      </c>
      <c r="K61" s="3">
        <v>0.105</v>
      </c>
      <c r="L61" s="3">
        <v>0.128</v>
      </c>
      <c r="M61" s="3">
        <v>0.126</v>
      </c>
      <c r="N61" s="3">
        <v>0.113</v>
      </c>
      <c r="O61" s="3">
        <v>0.145</v>
      </c>
      <c r="P61" s="23">
        <v>0.149</v>
      </c>
      <c r="Q61" s="3">
        <v>0.0112</v>
      </c>
      <c r="R61" s="28">
        <v>0.0111</v>
      </c>
      <c r="S61" s="28">
        <v>0.0098</v>
      </c>
      <c r="T61" s="3">
        <v>3</v>
      </c>
    </row>
    <row r="62" spans="1:20">
      <c r="A62" s="3" t="s">
        <v>43</v>
      </c>
      <c r="B62" s="3">
        <v>0.139</v>
      </c>
      <c r="C62" s="3">
        <v>0.122</v>
      </c>
      <c r="D62" s="3">
        <v>0.111</v>
      </c>
      <c r="E62" s="3">
        <v>0.152</v>
      </c>
      <c r="F62" s="3">
        <v>0.132</v>
      </c>
      <c r="G62" s="3">
        <v>0.123</v>
      </c>
      <c r="H62" s="3">
        <v>0.01</v>
      </c>
      <c r="I62" s="3">
        <v>3</v>
      </c>
      <c r="J62" s="3" t="s">
        <v>43</v>
      </c>
      <c r="K62" s="3">
        <v>0.103</v>
      </c>
      <c r="L62" s="3">
        <v>0.108</v>
      </c>
      <c r="M62" s="3">
        <v>0.124</v>
      </c>
      <c r="N62" s="3">
        <v>0.105</v>
      </c>
      <c r="O62" s="3">
        <v>0.111</v>
      </c>
      <c r="P62" s="23">
        <v>0.127</v>
      </c>
      <c r="Q62" s="3">
        <v>0.011</v>
      </c>
      <c r="R62" s="28">
        <v>0.0097</v>
      </c>
      <c r="S62" s="28">
        <v>0.0112</v>
      </c>
      <c r="T62" s="3">
        <v>3</v>
      </c>
    </row>
    <row r="63" spans="1:20">
      <c r="A63" s="11" t="s">
        <v>44</v>
      </c>
      <c r="B63" s="11">
        <v>0.126</v>
      </c>
      <c r="C63" s="11">
        <v>0.128</v>
      </c>
      <c r="D63" s="11">
        <v>0.138</v>
      </c>
      <c r="E63" s="11">
        <v>0.136</v>
      </c>
      <c r="F63" s="11">
        <v>0.132</v>
      </c>
      <c r="G63" s="11">
        <v>0.145</v>
      </c>
      <c r="H63" s="11">
        <v>0.012</v>
      </c>
      <c r="I63" s="11">
        <v>3</v>
      </c>
      <c r="J63" s="11" t="s">
        <v>44</v>
      </c>
      <c r="K63" s="11">
        <v>0.138</v>
      </c>
      <c r="L63" s="11">
        <v>0.16</v>
      </c>
      <c r="M63" s="11">
        <v>0.104</v>
      </c>
      <c r="N63" s="11">
        <v>0.16</v>
      </c>
      <c r="O63" s="11">
        <v>0.188</v>
      </c>
      <c r="P63" s="24">
        <v>0.132</v>
      </c>
      <c r="Q63" s="3">
        <v>0.0077</v>
      </c>
      <c r="R63" s="28">
        <v>0.0081</v>
      </c>
      <c r="S63" s="28">
        <v>0.0082</v>
      </c>
      <c r="T63" s="11">
        <v>3</v>
      </c>
    </row>
    <row r="64" spans="1:18">
      <c r="A64" s="15" t="s">
        <v>51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spans="1:20">
      <c r="A65" s="17" t="s">
        <v>2</v>
      </c>
      <c r="B65" s="17"/>
      <c r="C65" s="17"/>
      <c r="D65" s="17"/>
      <c r="E65" s="17"/>
      <c r="F65" s="17"/>
      <c r="G65" s="17"/>
      <c r="H65" s="17"/>
      <c r="I65" s="17"/>
      <c r="J65" s="17" t="s">
        <v>3</v>
      </c>
      <c r="K65" s="17"/>
      <c r="L65" s="17"/>
      <c r="M65" s="17"/>
      <c r="N65" s="17"/>
      <c r="O65" s="17"/>
      <c r="P65" s="17"/>
      <c r="Q65" s="28" t="s">
        <v>32</v>
      </c>
      <c r="R65" s="28"/>
      <c r="S65" s="28"/>
      <c r="T65" s="3" t="s">
        <v>33</v>
      </c>
    </row>
    <row r="66" spans="1:20">
      <c r="A66" s="3" t="s">
        <v>1</v>
      </c>
      <c r="B66" s="3" t="s">
        <v>34</v>
      </c>
      <c r="C66" s="3"/>
      <c r="D66" s="3"/>
      <c r="E66" s="3" t="s">
        <v>35</v>
      </c>
      <c r="F66" s="3"/>
      <c r="G66" s="3"/>
      <c r="H66" s="3" t="s">
        <v>32</v>
      </c>
      <c r="I66" s="3" t="s">
        <v>33</v>
      </c>
      <c r="J66" s="3" t="s">
        <v>1</v>
      </c>
      <c r="K66" s="3" t="s">
        <v>34</v>
      </c>
      <c r="L66" s="3"/>
      <c r="M66" s="3"/>
      <c r="N66" s="3" t="s">
        <v>35</v>
      </c>
      <c r="O66" s="3"/>
      <c r="P66" s="3"/>
      <c r="Q66" s="3" t="s">
        <v>36</v>
      </c>
      <c r="R66" s="28" t="s">
        <v>37</v>
      </c>
      <c r="S66" s="28" t="s">
        <v>37</v>
      </c>
      <c r="T66" s="3"/>
    </row>
    <row r="67" spans="1:20">
      <c r="A67" s="3" t="s">
        <v>41</v>
      </c>
      <c r="B67" s="3">
        <v>0.85</v>
      </c>
      <c r="C67" s="3">
        <v>0.813</v>
      </c>
      <c r="D67" s="3">
        <v>0.861</v>
      </c>
      <c r="E67" s="3">
        <v>0.819</v>
      </c>
      <c r="F67" s="3">
        <v>0.757</v>
      </c>
      <c r="G67" s="3">
        <v>0.822</v>
      </c>
      <c r="H67" s="9">
        <v>0.013</v>
      </c>
      <c r="I67" s="3">
        <v>3</v>
      </c>
      <c r="J67" s="3" t="s">
        <v>41</v>
      </c>
      <c r="K67" s="3">
        <v>1.149</v>
      </c>
      <c r="L67" s="3">
        <v>0.962</v>
      </c>
      <c r="M67" s="3">
        <v>0.849</v>
      </c>
      <c r="N67" s="3">
        <v>0.915</v>
      </c>
      <c r="O67" s="3">
        <v>0.773</v>
      </c>
      <c r="P67" s="3">
        <v>0.672</v>
      </c>
      <c r="Q67" s="9">
        <v>0.0061</v>
      </c>
      <c r="R67" s="9">
        <v>0.0063</v>
      </c>
      <c r="S67" s="9">
        <v>0.0059</v>
      </c>
      <c r="T67" s="3">
        <v>3</v>
      </c>
    </row>
    <row r="68" spans="1:20">
      <c r="A68" s="3" t="s">
        <v>42</v>
      </c>
      <c r="B68" s="3">
        <v>0.808</v>
      </c>
      <c r="C68" s="3">
        <v>0.789</v>
      </c>
      <c r="D68" s="3">
        <v>0.871</v>
      </c>
      <c r="E68" s="3">
        <v>0.727</v>
      </c>
      <c r="F68" s="3">
        <v>0.716</v>
      </c>
      <c r="G68" s="3">
        <v>0.735</v>
      </c>
      <c r="H68" s="3">
        <v>0.007</v>
      </c>
      <c r="I68" s="3">
        <v>3</v>
      </c>
      <c r="J68" s="3" t="s">
        <v>42</v>
      </c>
      <c r="K68" s="3">
        <v>0.84</v>
      </c>
      <c r="L68" s="3">
        <v>0.983</v>
      </c>
      <c r="M68" s="3">
        <v>0.922</v>
      </c>
      <c r="N68" s="3">
        <v>0.69</v>
      </c>
      <c r="O68" s="3">
        <v>0.853</v>
      </c>
      <c r="P68" s="3">
        <v>0.786</v>
      </c>
      <c r="Q68" s="3">
        <v>0.011</v>
      </c>
      <c r="R68" s="28">
        <v>0.0107</v>
      </c>
      <c r="S68" s="29">
        <v>0.0112</v>
      </c>
      <c r="T68" s="3">
        <v>3</v>
      </c>
    </row>
    <row r="69" spans="1:20">
      <c r="A69" s="3" t="s">
        <v>43</v>
      </c>
      <c r="B69" s="3">
        <v>1.879</v>
      </c>
      <c r="C69" s="3">
        <v>1.79</v>
      </c>
      <c r="D69" s="3">
        <v>1.896</v>
      </c>
      <c r="E69" s="3">
        <v>1.506</v>
      </c>
      <c r="F69" s="3">
        <v>1.454</v>
      </c>
      <c r="G69" s="3">
        <v>1.583</v>
      </c>
      <c r="H69" s="3">
        <v>0.007</v>
      </c>
      <c r="I69" s="3">
        <v>3</v>
      </c>
      <c r="J69" s="3" t="s">
        <v>43</v>
      </c>
      <c r="K69" s="3">
        <v>1.241</v>
      </c>
      <c r="L69" s="3">
        <v>1.611</v>
      </c>
      <c r="M69" s="3">
        <v>1.593</v>
      </c>
      <c r="N69" s="3">
        <v>1.006</v>
      </c>
      <c r="O69" s="3">
        <v>1.342</v>
      </c>
      <c r="P69" s="3">
        <v>1.379</v>
      </c>
      <c r="Q69" s="3">
        <v>0.0084</v>
      </c>
      <c r="R69" s="28">
        <v>0.0081</v>
      </c>
      <c r="S69" s="28">
        <v>0.0078</v>
      </c>
      <c r="T69" s="3">
        <v>3</v>
      </c>
    </row>
    <row r="70" spans="1:20">
      <c r="A70" s="3" t="s">
        <v>44</v>
      </c>
      <c r="B70" s="3">
        <v>1.669</v>
      </c>
      <c r="C70" s="3">
        <v>1.576</v>
      </c>
      <c r="D70" s="3">
        <v>1.539</v>
      </c>
      <c r="E70" s="3">
        <v>1.606</v>
      </c>
      <c r="F70" s="3">
        <v>1.494</v>
      </c>
      <c r="G70" s="3">
        <v>1.483</v>
      </c>
      <c r="H70" s="3">
        <v>0.008</v>
      </c>
      <c r="I70" s="3">
        <v>3</v>
      </c>
      <c r="J70" s="3" t="s">
        <v>44</v>
      </c>
      <c r="K70" s="3">
        <v>1.119</v>
      </c>
      <c r="L70" s="3">
        <v>1.611</v>
      </c>
      <c r="M70" s="3">
        <v>1.714</v>
      </c>
      <c r="N70" s="3">
        <v>1.006</v>
      </c>
      <c r="O70" s="3">
        <v>1.503</v>
      </c>
      <c r="P70" s="3">
        <v>1.593</v>
      </c>
      <c r="Q70" s="3">
        <v>0.0105</v>
      </c>
      <c r="R70" s="28">
        <v>0.0101</v>
      </c>
      <c r="S70" s="28">
        <v>0.0097</v>
      </c>
      <c r="T70" s="3">
        <v>3</v>
      </c>
    </row>
    <row r="71" spans="1:16">
      <c r="A71" s="3" t="s">
        <v>4</v>
      </c>
      <c r="B71" s="3"/>
      <c r="C71" s="3"/>
      <c r="D71" s="3"/>
      <c r="E71" s="3"/>
      <c r="F71" s="3"/>
      <c r="G71" s="3"/>
      <c r="J71" s="3" t="s">
        <v>4</v>
      </c>
      <c r="K71" s="3"/>
      <c r="L71" s="3"/>
      <c r="M71" s="3"/>
      <c r="N71" s="3"/>
      <c r="O71" s="3"/>
      <c r="P71" s="3"/>
    </row>
    <row r="72" spans="1:20">
      <c r="A72" s="3" t="s">
        <v>42</v>
      </c>
      <c r="B72" s="3">
        <v>1.037</v>
      </c>
      <c r="C72" s="3">
        <v>0.954</v>
      </c>
      <c r="D72" s="3">
        <v>0.95</v>
      </c>
      <c r="E72" s="3">
        <v>0.945</v>
      </c>
      <c r="F72" s="3">
        <v>0.869</v>
      </c>
      <c r="G72" s="3">
        <v>0.881</v>
      </c>
      <c r="H72" s="3">
        <v>0.009</v>
      </c>
      <c r="I72" s="3">
        <v>3</v>
      </c>
      <c r="J72" s="3" t="s">
        <v>42</v>
      </c>
      <c r="K72" s="3">
        <v>1.179</v>
      </c>
      <c r="L72" s="3">
        <v>1.046</v>
      </c>
      <c r="M72" s="3">
        <v>1.197</v>
      </c>
      <c r="N72" s="3">
        <v>0.906</v>
      </c>
      <c r="O72" s="3">
        <v>0.807</v>
      </c>
      <c r="P72" s="3">
        <v>0.97</v>
      </c>
      <c r="Q72" s="3">
        <v>0.0112</v>
      </c>
      <c r="R72" s="28">
        <v>0.0111</v>
      </c>
      <c r="S72" s="28">
        <v>0.0098</v>
      </c>
      <c r="T72" s="3">
        <v>3</v>
      </c>
    </row>
    <row r="73" spans="1:20">
      <c r="A73" s="3" t="s">
        <v>43</v>
      </c>
      <c r="B73" s="3">
        <v>1.528</v>
      </c>
      <c r="C73" s="3">
        <v>1.513</v>
      </c>
      <c r="D73" s="3">
        <v>1.565</v>
      </c>
      <c r="E73" s="3">
        <v>1.419</v>
      </c>
      <c r="F73" s="3">
        <v>1.418</v>
      </c>
      <c r="G73" s="3">
        <v>1.474</v>
      </c>
      <c r="H73" s="3">
        <v>0.01</v>
      </c>
      <c r="I73" s="3">
        <v>3</v>
      </c>
      <c r="J73" s="3" t="s">
        <v>43</v>
      </c>
      <c r="K73" s="3">
        <v>1.495</v>
      </c>
      <c r="L73" s="3">
        <v>1.521</v>
      </c>
      <c r="M73" s="3">
        <v>1.623</v>
      </c>
      <c r="N73" s="3">
        <v>1.218</v>
      </c>
      <c r="O73" s="3">
        <v>1.275</v>
      </c>
      <c r="P73" s="3">
        <v>1.368</v>
      </c>
      <c r="Q73" s="3">
        <v>0.011</v>
      </c>
      <c r="R73" s="28">
        <v>0.0097</v>
      </c>
      <c r="S73" s="28">
        <v>0.0112</v>
      </c>
      <c r="T73" s="3">
        <v>3</v>
      </c>
    </row>
    <row r="74" spans="1:20">
      <c r="A74" s="3" t="s">
        <v>44</v>
      </c>
      <c r="B74" s="3">
        <v>1.402</v>
      </c>
      <c r="C74" s="3">
        <v>1.482</v>
      </c>
      <c r="D74" s="3">
        <v>1.545</v>
      </c>
      <c r="E74" s="3">
        <v>1.319</v>
      </c>
      <c r="F74" s="3">
        <v>1.418</v>
      </c>
      <c r="G74" s="3">
        <v>1.474</v>
      </c>
      <c r="H74" s="3">
        <v>0.012</v>
      </c>
      <c r="I74" s="3">
        <v>3</v>
      </c>
      <c r="J74" s="3" t="s">
        <v>44</v>
      </c>
      <c r="K74" s="3">
        <v>1.674</v>
      </c>
      <c r="L74" s="3">
        <v>1.908</v>
      </c>
      <c r="M74" s="3">
        <v>1.623</v>
      </c>
      <c r="N74" s="3">
        <v>1.495</v>
      </c>
      <c r="O74" s="3">
        <v>1.721</v>
      </c>
      <c r="P74" s="3">
        <v>1.398</v>
      </c>
      <c r="Q74" s="3">
        <v>0.0077</v>
      </c>
      <c r="R74" s="28">
        <v>0.0081</v>
      </c>
      <c r="S74" s="28">
        <v>0.0082</v>
      </c>
      <c r="T74" s="11">
        <v>3</v>
      </c>
    </row>
    <row r="76" ht="14.25" spans="1:14">
      <c r="A76" s="2" t="s">
        <v>52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</row>
    <row r="77" spans="1:14">
      <c r="A77" s="32" t="s">
        <v>53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7"/>
      <c r="N77" s="37"/>
    </row>
    <row r="78" spans="1:14">
      <c r="A78" s="3" t="s">
        <v>54</v>
      </c>
      <c r="B78" s="3">
        <v>0.0075</v>
      </c>
      <c r="C78" s="3">
        <v>0.05</v>
      </c>
      <c r="D78" s="3">
        <v>0.025</v>
      </c>
      <c r="E78" s="3">
        <v>0.0125</v>
      </c>
      <c r="F78" s="3">
        <v>0.00625</v>
      </c>
      <c r="G78" s="3">
        <v>0.003125</v>
      </c>
      <c r="H78" s="3">
        <v>0.00156</v>
      </c>
      <c r="I78" s="3">
        <v>0.00078</v>
      </c>
      <c r="J78" s="3" t="s">
        <v>55</v>
      </c>
      <c r="M78" s="36"/>
      <c r="N78" s="36"/>
    </row>
    <row r="79" spans="1:14">
      <c r="A79" s="3" t="s">
        <v>36</v>
      </c>
      <c r="B79" s="3">
        <v>0.54</v>
      </c>
      <c r="C79" s="3">
        <v>0.104</v>
      </c>
      <c r="D79" s="3">
        <v>0.088</v>
      </c>
      <c r="E79" s="3">
        <v>0.085</v>
      </c>
      <c r="F79" s="3">
        <v>0.083</v>
      </c>
      <c r="G79" s="3">
        <v>0.079</v>
      </c>
      <c r="H79" s="3">
        <v>0.08</v>
      </c>
      <c r="I79" s="3">
        <v>0.079</v>
      </c>
      <c r="J79" s="3">
        <v>0.038</v>
      </c>
      <c r="M79" s="36"/>
      <c r="N79" s="36"/>
    </row>
    <row r="80" spans="1:14">
      <c r="A80" s="3" t="s">
        <v>37</v>
      </c>
      <c r="B80" s="3">
        <v>0.543</v>
      </c>
      <c r="C80" s="3">
        <v>0.103</v>
      </c>
      <c r="D80" s="3">
        <v>0.097</v>
      </c>
      <c r="E80" s="3">
        <v>0.089</v>
      </c>
      <c r="F80" s="3">
        <v>0.083</v>
      </c>
      <c r="G80" s="3">
        <v>0.081</v>
      </c>
      <c r="H80" s="3">
        <v>0.081</v>
      </c>
      <c r="I80" s="3">
        <v>0.079</v>
      </c>
      <c r="J80" s="3">
        <v>0.038</v>
      </c>
      <c r="M80" s="36"/>
      <c r="N80" s="36"/>
    </row>
    <row r="81" spans="1:14">
      <c r="A81" s="3" t="s">
        <v>56</v>
      </c>
      <c r="B81" s="3">
        <v>0.535</v>
      </c>
      <c r="C81" s="3">
        <v>0.102</v>
      </c>
      <c r="D81" s="3">
        <v>0.092</v>
      </c>
      <c r="E81" s="3">
        <v>0.083</v>
      </c>
      <c r="F81" s="3">
        <v>0.084</v>
      </c>
      <c r="G81" s="3">
        <v>0.082</v>
      </c>
      <c r="H81" s="3">
        <v>0.079</v>
      </c>
      <c r="I81" s="3">
        <v>0.077</v>
      </c>
      <c r="J81" s="3">
        <v>0.038</v>
      </c>
      <c r="M81" s="36"/>
      <c r="N81" s="36"/>
    </row>
    <row r="82" spans="1:14">
      <c r="A82" s="3" t="s">
        <v>38</v>
      </c>
      <c r="B82" s="3">
        <v>0.103</v>
      </c>
      <c r="C82" s="3">
        <v>0.108</v>
      </c>
      <c r="D82" s="3">
        <v>0.094</v>
      </c>
      <c r="E82" s="3"/>
      <c r="F82" s="3"/>
      <c r="G82" s="3"/>
      <c r="H82" s="3"/>
      <c r="I82" s="3"/>
      <c r="J82" s="3"/>
      <c r="M82" s="36"/>
      <c r="N82" s="36"/>
    </row>
    <row r="83" spans="1:14">
      <c r="A83" s="3" t="s">
        <v>2</v>
      </c>
      <c r="B83" s="3"/>
      <c r="C83" s="3"/>
      <c r="D83" s="3"/>
      <c r="E83" s="3" t="s">
        <v>3</v>
      </c>
      <c r="F83" s="3"/>
      <c r="G83" s="3"/>
      <c r="H83" s="3"/>
      <c r="I83" s="3"/>
      <c r="J83" s="3"/>
      <c r="K83" s="28" t="s">
        <v>32</v>
      </c>
      <c r="L83" s="28"/>
      <c r="M83" s="28"/>
      <c r="N83" s="36"/>
    </row>
    <row r="84" spans="1:14">
      <c r="A84" s="3" t="s">
        <v>1</v>
      </c>
      <c r="B84" s="3"/>
      <c r="C84" s="3"/>
      <c r="D84" s="3"/>
      <c r="E84" s="3" t="s">
        <v>32</v>
      </c>
      <c r="F84" s="3" t="s">
        <v>33</v>
      </c>
      <c r="G84" s="3" t="s">
        <v>1</v>
      </c>
      <c r="H84" s="3"/>
      <c r="I84" s="3"/>
      <c r="J84" s="3"/>
      <c r="K84" s="3" t="s">
        <v>36</v>
      </c>
      <c r="L84" s="28" t="s">
        <v>37</v>
      </c>
      <c r="M84" s="28" t="s">
        <v>37</v>
      </c>
      <c r="N84" s="23" t="s">
        <v>33</v>
      </c>
    </row>
    <row r="85" spans="1:14">
      <c r="A85" s="3" t="s">
        <v>41</v>
      </c>
      <c r="B85" s="3">
        <v>0.175</v>
      </c>
      <c r="C85" s="3">
        <v>0.184</v>
      </c>
      <c r="D85" s="3">
        <v>0.186</v>
      </c>
      <c r="E85" s="9">
        <v>0.013</v>
      </c>
      <c r="F85" s="3">
        <v>3</v>
      </c>
      <c r="G85" s="3" t="s">
        <v>41</v>
      </c>
      <c r="H85" s="3">
        <v>0.159</v>
      </c>
      <c r="I85" s="3">
        <v>0.177</v>
      </c>
      <c r="J85" s="3">
        <v>0.162</v>
      </c>
      <c r="K85" s="9">
        <v>0.0131</v>
      </c>
      <c r="L85" s="28">
        <v>0.0134</v>
      </c>
      <c r="M85" s="3">
        <v>0.0127</v>
      </c>
      <c r="N85" s="23">
        <v>3</v>
      </c>
    </row>
    <row r="86" spans="1:14">
      <c r="A86" s="3" t="s">
        <v>42</v>
      </c>
      <c r="B86" s="3">
        <v>0.164</v>
      </c>
      <c r="C86" s="3">
        <v>0.168</v>
      </c>
      <c r="D86" s="3">
        <v>0.176</v>
      </c>
      <c r="E86" s="3">
        <v>0.007</v>
      </c>
      <c r="F86" s="3">
        <v>3</v>
      </c>
      <c r="G86" s="3" t="s">
        <v>42</v>
      </c>
      <c r="H86" s="3">
        <v>0.172</v>
      </c>
      <c r="I86" s="3">
        <v>0.155</v>
      </c>
      <c r="J86" s="3">
        <v>0.159</v>
      </c>
      <c r="K86" s="3">
        <v>0.0109</v>
      </c>
      <c r="L86" s="28">
        <v>0.0112</v>
      </c>
      <c r="M86" s="3">
        <v>0.0109</v>
      </c>
      <c r="N86" s="23">
        <v>3</v>
      </c>
    </row>
    <row r="87" spans="1:14">
      <c r="A87" s="3" t="s">
        <v>43</v>
      </c>
      <c r="B87" s="3">
        <v>0.247</v>
      </c>
      <c r="C87" s="3">
        <v>0.241</v>
      </c>
      <c r="D87" s="3">
        <v>0.211</v>
      </c>
      <c r="E87" s="3">
        <v>0.007</v>
      </c>
      <c r="F87" s="3">
        <v>3</v>
      </c>
      <c r="G87" s="3" t="s">
        <v>43</v>
      </c>
      <c r="H87" s="3">
        <v>0.216</v>
      </c>
      <c r="I87" s="3">
        <v>0.209</v>
      </c>
      <c r="J87" s="3">
        <v>0.212</v>
      </c>
      <c r="K87" s="3">
        <v>0.008</v>
      </c>
      <c r="L87" s="28">
        <v>0.0078</v>
      </c>
      <c r="M87" s="3">
        <v>0.0083</v>
      </c>
      <c r="N87" s="23">
        <v>3</v>
      </c>
    </row>
    <row r="88" spans="1:14">
      <c r="A88" s="3" t="s">
        <v>44</v>
      </c>
      <c r="B88" s="3">
        <v>0.308</v>
      </c>
      <c r="C88" s="3">
        <v>0.263</v>
      </c>
      <c r="D88" s="3">
        <v>0.289</v>
      </c>
      <c r="E88" s="3">
        <v>0.008</v>
      </c>
      <c r="F88" s="3">
        <v>3</v>
      </c>
      <c r="G88" s="3" t="s">
        <v>44</v>
      </c>
      <c r="H88" s="3">
        <v>0.279</v>
      </c>
      <c r="I88" s="3">
        <v>0.278</v>
      </c>
      <c r="J88" s="3">
        <v>0.281</v>
      </c>
      <c r="K88" s="3">
        <v>0.0101</v>
      </c>
      <c r="L88" s="28">
        <v>0.0103</v>
      </c>
      <c r="M88" s="3">
        <v>0.0096</v>
      </c>
      <c r="N88" s="23">
        <v>3</v>
      </c>
    </row>
    <row r="89" spans="1:14">
      <c r="A89" s="3" t="s">
        <v>4</v>
      </c>
      <c r="B89" s="3"/>
      <c r="C89" s="3"/>
      <c r="D89" s="3"/>
      <c r="G89" s="3" t="s">
        <v>4</v>
      </c>
      <c r="H89" s="3"/>
      <c r="I89" s="3"/>
      <c r="J89" s="3"/>
      <c r="K89" s="3"/>
      <c r="L89" s="28"/>
      <c r="M89" s="3"/>
      <c r="N89" s="23"/>
    </row>
    <row r="90" spans="1:14">
      <c r="A90" s="3" t="s">
        <v>42</v>
      </c>
      <c r="B90" s="3">
        <v>0.172</v>
      </c>
      <c r="C90" s="3">
        <v>0.17</v>
      </c>
      <c r="D90" s="3">
        <v>0.183</v>
      </c>
      <c r="E90" s="3">
        <v>0.009</v>
      </c>
      <c r="F90" s="3">
        <v>3</v>
      </c>
      <c r="G90" s="3" t="s">
        <v>42</v>
      </c>
      <c r="H90" s="3">
        <v>0.16</v>
      </c>
      <c r="I90" s="3">
        <v>0.15</v>
      </c>
      <c r="J90" s="3">
        <v>0.149</v>
      </c>
      <c r="K90" s="3">
        <v>0.011</v>
      </c>
      <c r="L90" s="28">
        <v>0.0111</v>
      </c>
      <c r="M90" s="3">
        <v>0.011</v>
      </c>
      <c r="N90" s="23">
        <v>3</v>
      </c>
    </row>
    <row r="91" spans="1:14">
      <c r="A91" s="3" t="s">
        <v>43</v>
      </c>
      <c r="B91" s="3">
        <v>0.273</v>
      </c>
      <c r="C91" s="3">
        <v>0.276</v>
      </c>
      <c r="D91" s="3">
        <v>0.266</v>
      </c>
      <c r="E91" s="3">
        <v>0.01</v>
      </c>
      <c r="F91" s="3">
        <v>3</v>
      </c>
      <c r="G91" s="3" t="s">
        <v>43</v>
      </c>
      <c r="H91" s="3">
        <v>0.214</v>
      </c>
      <c r="I91" s="3">
        <v>0.213</v>
      </c>
      <c r="J91" s="3">
        <v>0.198</v>
      </c>
      <c r="K91" s="3">
        <v>0.011</v>
      </c>
      <c r="L91" s="28">
        <v>0.011</v>
      </c>
      <c r="M91" s="3">
        <v>0.0109</v>
      </c>
      <c r="N91" s="23">
        <v>3</v>
      </c>
    </row>
    <row r="92" spans="1:14">
      <c r="A92" s="11" t="s">
        <v>44</v>
      </c>
      <c r="B92" s="11">
        <v>0.346</v>
      </c>
      <c r="C92" s="33">
        <v>0.3</v>
      </c>
      <c r="D92" s="11">
        <v>0.292</v>
      </c>
      <c r="E92" s="11">
        <v>0.012</v>
      </c>
      <c r="F92" s="11">
        <v>3</v>
      </c>
      <c r="G92" s="11" t="s">
        <v>44</v>
      </c>
      <c r="H92" s="11">
        <v>0.216</v>
      </c>
      <c r="I92" s="11">
        <v>0.214</v>
      </c>
      <c r="J92" s="11">
        <v>0.205</v>
      </c>
      <c r="K92" s="3">
        <v>0.0082</v>
      </c>
      <c r="L92" s="28">
        <v>0.0081</v>
      </c>
      <c r="M92" s="3">
        <v>0.0078</v>
      </c>
      <c r="N92" s="24">
        <v>3</v>
      </c>
    </row>
    <row r="93" spans="1:13">
      <c r="A93" s="15" t="s">
        <v>57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1">
      <c r="A94" s="17" t="s">
        <v>58</v>
      </c>
      <c r="B94" s="17" t="s">
        <v>46</v>
      </c>
      <c r="C94" s="17">
        <v>0.1</v>
      </c>
      <c r="D94" s="17">
        <v>0.1</v>
      </c>
      <c r="E94" s="17">
        <v>0.1</v>
      </c>
      <c r="F94" s="17"/>
      <c r="G94" s="17"/>
      <c r="H94" s="17"/>
      <c r="I94" s="17"/>
      <c r="J94" s="17"/>
      <c r="K94" s="17"/>
    </row>
    <row r="95" spans="1:12">
      <c r="A95" s="3"/>
      <c r="B95" s="3" t="s">
        <v>2</v>
      </c>
      <c r="C95" s="3"/>
      <c r="D95" s="3"/>
      <c r="E95" s="3"/>
      <c r="F95" s="34" t="s">
        <v>3</v>
      </c>
      <c r="G95" s="35"/>
      <c r="H95" s="35"/>
      <c r="I95" s="38"/>
      <c r="J95" s="28" t="s">
        <v>32</v>
      </c>
      <c r="K95" s="28"/>
      <c r="L95" s="28"/>
    </row>
    <row r="96" spans="1:13">
      <c r="A96" s="3"/>
      <c r="B96" s="3" t="s">
        <v>1</v>
      </c>
      <c r="C96" s="3"/>
      <c r="D96" s="3"/>
      <c r="E96" s="3"/>
      <c r="F96" s="3" t="s">
        <v>1</v>
      </c>
      <c r="G96" s="3"/>
      <c r="H96" s="3"/>
      <c r="I96" s="3"/>
      <c r="J96" s="3" t="s">
        <v>36</v>
      </c>
      <c r="K96" s="28" t="s">
        <v>37</v>
      </c>
      <c r="L96" s="28" t="s">
        <v>37</v>
      </c>
      <c r="M96" s="3" t="s">
        <v>33</v>
      </c>
    </row>
    <row r="97" spans="1:13">
      <c r="A97" s="3"/>
      <c r="B97" s="3" t="s">
        <v>41</v>
      </c>
      <c r="C97" s="3">
        <v>0.135</v>
      </c>
      <c r="D97" s="3">
        <v>0.132</v>
      </c>
      <c r="E97" s="3">
        <v>0.142</v>
      </c>
      <c r="F97" s="3" t="s">
        <v>41</v>
      </c>
      <c r="G97" s="3">
        <v>0.139</v>
      </c>
      <c r="H97" s="3">
        <v>0.14</v>
      </c>
      <c r="I97" s="3">
        <v>0.145</v>
      </c>
      <c r="J97" s="3">
        <v>0.0042</v>
      </c>
      <c r="K97" s="28">
        <v>0.0041</v>
      </c>
      <c r="L97" s="28">
        <v>0.0039</v>
      </c>
      <c r="M97" s="3">
        <v>10</v>
      </c>
    </row>
    <row r="98" spans="1:13">
      <c r="A98" s="3"/>
      <c r="B98" s="3" t="s">
        <v>42</v>
      </c>
      <c r="C98" s="3">
        <v>0.143</v>
      </c>
      <c r="D98" s="3">
        <v>0.146</v>
      </c>
      <c r="E98" s="3">
        <v>0.155</v>
      </c>
      <c r="F98" s="3" t="s">
        <v>42</v>
      </c>
      <c r="G98" s="3">
        <v>0.138</v>
      </c>
      <c r="H98" s="3">
        <v>0.137</v>
      </c>
      <c r="I98" s="3">
        <v>0.16</v>
      </c>
      <c r="J98" s="3">
        <v>0.006</v>
      </c>
      <c r="K98" s="28">
        <v>0.0062</v>
      </c>
      <c r="L98" s="28">
        <v>0.0061</v>
      </c>
      <c r="M98" s="3">
        <v>10</v>
      </c>
    </row>
    <row r="99" spans="1:13">
      <c r="A99" s="3"/>
      <c r="B99" s="3" t="s">
        <v>43</v>
      </c>
      <c r="C99" s="3">
        <v>0.12</v>
      </c>
      <c r="D99" s="3">
        <v>0.12</v>
      </c>
      <c r="E99" s="3">
        <v>0.121</v>
      </c>
      <c r="F99" s="3" t="s">
        <v>43</v>
      </c>
      <c r="G99" s="3">
        <v>0.122</v>
      </c>
      <c r="H99" s="3">
        <v>0.134</v>
      </c>
      <c r="I99" s="3">
        <v>0.149</v>
      </c>
      <c r="J99" s="3">
        <v>0.0031</v>
      </c>
      <c r="K99" s="28">
        <v>0.0031</v>
      </c>
      <c r="L99" s="28">
        <v>0.0029</v>
      </c>
      <c r="M99" s="3">
        <v>10</v>
      </c>
    </row>
    <row r="100" spans="1:13">
      <c r="A100" s="3"/>
      <c r="B100" s="3" t="s">
        <v>44</v>
      </c>
      <c r="C100" s="3">
        <v>0.112</v>
      </c>
      <c r="D100" s="3">
        <v>0.13</v>
      </c>
      <c r="E100" s="3">
        <v>0.124</v>
      </c>
      <c r="F100" s="3" t="s">
        <v>44</v>
      </c>
      <c r="G100" s="3">
        <v>0.153</v>
      </c>
      <c r="H100" s="3">
        <v>0.149</v>
      </c>
      <c r="I100" s="3">
        <v>0.148</v>
      </c>
      <c r="J100" s="3">
        <v>0.0063</v>
      </c>
      <c r="K100" s="28">
        <v>0.0061</v>
      </c>
      <c r="L100" s="28">
        <v>0.0061</v>
      </c>
      <c r="M100" s="3">
        <v>10</v>
      </c>
    </row>
    <row r="101" spans="1:13">
      <c r="A101" s="3"/>
      <c r="B101" s="3" t="s">
        <v>4</v>
      </c>
      <c r="C101" s="3"/>
      <c r="D101" s="3"/>
      <c r="E101" s="3"/>
      <c r="F101" s="3" t="s">
        <v>4</v>
      </c>
      <c r="G101" s="3"/>
      <c r="H101" s="3"/>
      <c r="I101" s="3"/>
      <c r="J101" s="3"/>
      <c r="K101" s="28"/>
      <c r="L101" s="28"/>
      <c r="M101" s="3"/>
    </row>
    <row r="102" spans="1:13">
      <c r="A102" s="3"/>
      <c r="B102" s="3" t="s">
        <v>42</v>
      </c>
      <c r="C102" s="3">
        <v>0.142</v>
      </c>
      <c r="D102" s="3">
        <v>0.137</v>
      </c>
      <c r="E102" s="3">
        <v>0.145</v>
      </c>
      <c r="F102" s="3" t="s">
        <v>42</v>
      </c>
      <c r="G102" s="3">
        <v>0.118</v>
      </c>
      <c r="H102" s="3">
        <v>0.113</v>
      </c>
      <c r="I102" s="3">
        <v>0.115</v>
      </c>
      <c r="J102" s="3">
        <v>0.006</v>
      </c>
      <c r="K102" s="28">
        <v>0.0057</v>
      </c>
      <c r="L102" s="28">
        <v>0.0059</v>
      </c>
      <c r="M102" s="3">
        <v>10</v>
      </c>
    </row>
    <row r="103" spans="1:13">
      <c r="A103" s="3"/>
      <c r="B103" s="3" t="s">
        <v>43</v>
      </c>
      <c r="C103" s="3">
        <v>0.127</v>
      </c>
      <c r="D103" s="3">
        <v>0.137</v>
      </c>
      <c r="E103" s="3">
        <v>0.135</v>
      </c>
      <c r="F103" s="3" t="s">
        <v>43</v>
      </c>
      <c r="G103" s="3">
        <v>0.119</v>
      </c>
      <c r="H103" s="3">
        <v>0.124</v>
      </c>
      <c r="I103" s="3">
        <v>0.114</v>
      </c>
      <c r="J103" s="3">
        <v>0.0061</v>
      </c>
      <c r="K103" s="28">
        <v>0.0061</v>
      </c>
      <c r="L103" s="28">
        <v>0.0063</v>
      </c>
      <c r="M103" s="3">
        <v>10</v>
      </c>
    </row>
    <row r="104" spans="1:13">
      <c r="A104" s="3"/>
      <c r="B104" s="3" t="s">
        <v>44</v>
      </c>
      <c r="C104" s="3">
        <v>0.128</v>
      </c>
      <c r="D104" s="3">
        <v>0.124</v>
      </c>
      <c r="E104" s="3">
        <v>0.134</v>
      </c>
      <c r="F104" s="3" t="s">
        <v>44</v>
      </c>
      <c r="G104" s="3">
        <v>0.137</v>
      </c>
      <c r="H104" s="3">
        <v>0.131</v>
      </c>
      <c r="I104" s="3">
        <v>0.161</v>
      </c>
      <c r="J104" s="3">
        <v>0.0031</v>
      </c>
      <c r="K104" s="28">
        <v>0.0034</v>
      </c>
      <c r="L104" s="28">
        <v>0.003</v>
      </c>
      <c r="M104" s="3">
        <v>10</v>
      </c>
    </row>
    <row r="105" spans="1:13">
      <c r="A105" s="3" t="s">
        <v>58</v>
      </c>
      <c r="B105" s="3" t="s">
        <v>46</v>
      </c>
      <c r="C105" s="3">
        <v>0.087</v>
      </c>
      <c r="D105" s="3">
        <v>0.087</v>
      </c>
      <c r="E105" s="3">
        <v>0.087</v>
      </c>
      <c r="F105" s="3"/>
      <c r="G105" s="3"/>
      <c r="H105" s="3"/>
      <c r="I105" s="3"/>
      <c r="J105" s="17"/>
      <c r="K105" s="22"/>
      <c r="L105" s="36"/>
      <c r="M105" s="36"/>
    </row>
    <row r="106" spans="1:12">
      <c r="A106" s="3"/>
      <c r="B106" s="3" t="s">
        <v>2</v>
      </c>
      <c r="C106" s="3"/>
      <c r="D106" s="3"/>
      <c r="E106" s="3"/>
      <c r="F106" s="34" t="s">
        <v>3</v>
      </c>
      <c r="G106" s="35"/>
      <c r="H106" s="35"/>
      <c r="I106" s="38"/>
      <c r="J106" s="28" t="s">
        <v>32</v>
      </c>
      <c r="K106" s="28"/>
      <c r="L106" s="28"/>
    </row>
    <row r="107" spans="1:13">
      <c r="A107" s="3"/>
      <c r="B107" s="3" t="s">
        <v>1</v>
      </c>
      <c r="C107" s="3"/>
      <c r="D107" s="3"/>
      <c r="E107" s="3"/>
      <c r="F107" s="3" t="s">
        <v>1</v>
      </c>
      <c r="G107" s="3"/>
      <c r="H107" s="3"/>
      <c r="I107" s="3"/>
      <c r="J107" s="3" t="s">
        <v>36</v>
      </c>
      <c r="K107" s="28" t="s">
        <v>37</v>
      </c>
      <c r="L107" s="28" t="s">
        <v>37</v>
      </c>
      <c r="M107" s="3" t="s">
        <v>33</v>
      </c>
    </row>
    <row r="108" spans="1:13">
      <c r="A108" s="3"/>
      <c r="B108" s="3" t="s">
        <v>41</v>
      </c>
      <c r="C108" s="3">
        <v>0.119</v>
      </c>
      <c r="D108" s="3">
        <v>0.114</v>
      </c>
      <c r="E108" s="3">
        <v>0.126</v>
      </c>
      <c r="F108" s="3" t="s">
        <v>41</v>
      </c>
      <c r="G108" s="3">
        <v>0.112</v>
      </c>
      <c r="H108" s="3">
        <v>0.107</v>
      </c>
      <c r="I108" s="3">
        <v>0.112</v>
      </c>
      <c r="J108" s="3">
        <v>0.0042</v>
      </c>
      <c r="K108" s="28">
        <v>0.0041</v>
      </c>
      <c r="L108" s="28">
        <v>0.0039</v>
      </c>
      <c r="M108" s="3">
        <v>10</v>
      </c>
    </row>
    <row r="109" spans="1:13">
      <c r="A109" s="3"/>
      <c r="B109" s="3" t="s">
        <v>42</v>
      </c>
      <c r="C109" s="3">
        <v>0.11</v>
      </c>
      <c r="D109" s="3">
        <v>0.102</v>
      </c>
      <c r="E109" s="3">
        <v>0.118</v>
      </c>
      <c r="F109" s="3" t="s">
        <v>42</v>
      </c>
      <c r="G109" s="3">
        <v>0.102</v>
      </c>
      <c r="H109" s="3">
        <v>0.106</v>
      </c>
      <c r="I109" s="3">
        <v>0.125</v>
      </c>
      <c r="J109" s="3">
        <v>0.006</v>
      </c>
      <c r="K109" s="28">
        <v>0.0062</v>
      </c>
      <c r="L109" s="28">
        <v>0.0061</v>
      </c>
      <c r="M109" s="3">
        <v>10</v>
      </c>
    </row>
    <row r="110" spans="1:13">
      <c r="A110" s="3"/>
      <c r="B110" s="3" t="s">
        <v>43</v>
      </c>
      <c r="C110" s="3">
        <v>0.1</v>
      </c>
      <c r="D110" s="3">
        <v>0.101</v>
      </c>
      <c r="E110" s="3">
        <v>0.102</v>
      </c>
      <c r="F110" s="3" t="s">
        <v>43</v>
      </c>
      <c r="G110" s="3">
        <v>0.101</v>
      </c>
      <c r="H110" s="3">
        <v>0.11</v>
      </c>
      <c r="I110" s="3">
        <v>0.127</v>
      </c>
      <c r="J110" s="3">
        <v>0.0031</v>
      </c>
      <c r="K110" s="28">
        <v>0.0031</v>
      </c>
      <c r="L110" s="28">
        <v>0.0029</v>
      </c>
      <c r="M110" s="3">
        <v>10</v>
      </c>
    </row>
    <row r="111" spans="1:13">
      <c r="A111" s="3"/>
      <c r="B111" s="3" t="s">
        <v>44</v>
      </c>
      <c r="C111" s="3">
        <v>0.094</v>
      </c>
      <c r="D111" s="3">
        <v>0.108</v>
      </c>
      <c r="E111" s="3">
        <v>0.102</v>
      </c>
      <c r="F111" s="3" t="s">
        <v>44</v>
      </c>
      <c r="G111" s="3">
        <v>0.114</v>
      </c>
      <c r="H111" s="3">
        <v>0.115</v>
      </c>
      <c r="I111" s="3">
        <v>0.116</v>
      </c>
      <c r="J111" s="3">
        <v>0.0063</v>
      </c>
      <c r="K111" s="28">
        <v>0.0061</v>
      </c>
      <c r="L111" s="28">
        <v>0.0061</v>
      </c>
      <c r="M111" s="3">
        <v>10</v>
      </c>
    </row>
    <row r="112" spans="1:13">
      <c r="A112" s="3"/>
      <c r="B112" s="3" t="s">
        <v>4</v>
      </c>
      <c r="C112" s="3"/>
      <c r="D112" s="3"/>
      <c r="E112" s="3"/>
      <c r="F112" s="3" t="s">
        <v>4</v>
      </c>
      <c r="G112" s="3"/>
      <c r="H112" s="3"/>
      <c r="I112" s="3"/>
      <c r="J112" s="3"/>
      <c r="K112" s="28"/>
      <c r="L112" s="28"/>
      <c r="M112" s="3"/>
    </row>
    <row r="113" spans="1:13">
      <c r="A113" s="3"/>
      <c r="B113" s="3" t="s">
        <v>42</v>
      </c>
      <c r="C113" s="3">
        <v>0.108</v>
      </c>
      <c r="D113" s="3">
        <v>0.105</v>
      </c>
      <c r="E113" s="3">
        <v>0.113</v>
      </c>
      <c r="F113" s="3" t="s">
        <v>42</v>
      </c>
      <c r="G113" s="3">
        <v>0.098</v>
      </c>
      <c r="H113" s="3">
        <v>0.092</v>
      </c>
      <c r="I113" s="3">
        <v>0.094</v>
      </c>
      <c r="J113" s="3">
        <v>0.006</v>
      </c>
      <c r="K113" s="28">
        <v>0.0057</v>
      </c>
      <c r="L113" s="28">
        <v>0.0059</v>
      </c>
      <c r="M113" s="3">
        <v>10</v>
      </c>
    </row>
    <row r="114" spans="1:13">
      <c r="A114" s="3"/>
      <c r="B114" s="3" t="s">
        <v>43</v>
      </c>
      <c r="C114" s="3">
        <v>0.099</v>
      </c>
      <c r="D114" s="3">
        <v>0.108</v>
      </c>
      <c r="E114" s="3">
        <v>0.106</v>
      </c>
      <c r="F114" s="3" t="s">
        <v>43</v>
      </c>
      <c r="G114" s="3">
        <v>0.104</v>
      </c>
      <c r="H114" s="3">
        <v>0.109</v>
      </c>
      <c r="I114" s="3">
        <v>0.098</v>
      </c>
      <c r="J114" s="3">
        <v>0.0061</v>
      </c>
      <c r="K114" s="28">
        <v>0.0061</v>
      </c>
      <c r="L114" s="28">
        <v>0.0063</v>
      </c>
      <c r="M114" s="3">
        <v>10</v>
      </c>
    </row>
    <row r="115" spans="1:13">
      <c r="A115" s="11"/>
      <c r="B115" s="11" t="s">
        <v>44</v>
      </c>
      <c r="C115" s="11">
        <v>0.112</v>
      </c>
      <c r="D115" s="11">
        <v>0.107</v>
      </c>
      <c r="E115" s="11">
        <v>0.119</v>
      </c>
      <c r="F115" s="11" t="s">
        <v>44</v>
      </c>
      <c r="G115" s="11">
        <v>0.118</v>
      </c>
      <c r="H115" s="3">
        <v>0.113</v>
      </c>
      <c r="I115" s="3">
        <v>0.144</v>
      </c>
      <c r="J115" s="3">
        <v>0.0031</v>
      </c>
      <c r="K115" s="28">
        <v>0.0034</v>
      </c>
      <c r="L115" s="28">
        <v>0.003</v>
      </c>
      <c r="M115" s="3">
        <v>10</v>
      </c>
    </row>
    <row r="116" spans="1:7">
      <c r="A116" s="15" t="s">
        <v>59</v>
      </c>
      <c r="B116" s="16"/>
      <c r="C116" s="16"/>
      <c r="D116" s="16"/>
      <c r="E116" s="16"/>
      <c r="F116" s="16"/>
      <c r="G116" s="16"/>
    </row>
    <row r="117" spans="1:13">
      <c r="A117" s="17" t="s">
        <v>60</v>
      </c>
      <c r="B117" s="17">
        <v>0.103</v>
      </c>
      <c r="C117" s="17">
        <v>0.097</v>
      </c>
      <c r="D117" s="17">
        <v>0.099</v>
      </c>
      <c r="E117" s="17">
        <f>AVERAGE(B117:D117)</f>
        <v>0.0996666666666667</v>
      </c>
      <c r="G117" s="36"/>
      <c r="H117" s="36"/>
      <c r="I117" s="36"/>
      <c r="J117" s="36"/>
      <c r="K117" s="36"/>
      <c r="L117" s="36"/>
      <c r="M117" s="36"/>
    </row>
    <row r="118" spans="1:13">
      <c r="A118" s="3" t="s">
        <v>61</v>
      </c>
      <c r="B118" s="3">
        <v>0.382</v>
      </c>
      <c r="C118" s="3">
        <v>0.338</v>
      </c>
      <c r="D118" s="3">
        <v>0.357</v>
      </c>
      <c r="E118" s="3">
        <f>AVERAGE(B118:D118)</f>
        <v>0.359</v>
      </c>
      <c r="G118" s="36"/>
      <c r="H118" s="36"/>
      <c r="I118" s="36"/>
      <c r="J118" s="36"/>
      <c r="K118" s="36"/>
      <c r="L118" s="36"/>
      <c r="M118" s="36"/>
    </row>
    <row r="119" spans="1:13">
      <c r="A119" s="3" t="s">
        <v>62</v>
      </c>
      <c r="B119" s="3"/>
      <c r="C119" s="3"/>
      <c r="D119" s="3"/>
      <c r="E119" s="3" t="s">
        <v>47</v>
      </c>
      <c r="F119" s="28" t="s">
        <v>32</v>
      </c>
      <c r="G119" s="28"/>
      <c r="H119" s="28"/>
      <c r="I119" s="3" t="s">
        <v>33</v>
      </c>
      <c r="J119" s="36"/>
      <c r="K119" s="36"/>
      <c r="L119" s="36"/>
      <c r="M119" s="36"/>
    </row>
    <row r="120" spans="1:13">
      <c r="A120" s="3" t="s">
        <v>63</v>
      </c>
      <c r="B120" s="3">
        <v>0.151</v>
      </c>
      <c r="C120" s="3">
        <v>0.147</v>
      </c>
      <c r="D120" s="3">
        <v>0.154</v>
      </c>
      <c r="E120" s="3">
        <v>0.0996666666666667</v>
      </c>
      <c r="F120" s="3">
        <v>0.00651</v>
      </c>
      <c r="G120" s="28">
        <v>0.0647</v>
      </c>
      <c r="H120" s="3">
        <v>0.0654</v>
      </c>
      <c r="I120" s="3">
        <v>15</v>
      </c>
      <c r="J120" s="36"/>
      <c r="K120" s="36"/>
      <c r="L120" s="36"/>
      <c r="M120" s="36"/>
    </row>
    <row r="121" spans="1:13">
      <c r="A121" s="3" t="s">
        <v>64</v>
      </c>
      <c r="B121" s="3">
        <v>0.153</v>
      </c>
      <c r="C121" s="3">
        <v>0.171</v>
      </c>
      <c r="D121" s="3">
        <v>0.164</v>
      </c>
      <c r="E121" s="3">
        <v>0.0996666666666667</v>
      </c>
      <c r="F121" s="3">
        <v>0.00615</v>
      </c>
      <c r="G121" s="28">
        <v>0.00624</v>
      </c>
      <c r="H121" s="3">
        <v>0.00621</v>
      </c>
      <c r="I121" s="3">
        <v>15</v>
      </c>
      <c r="J121" s="36"/>
      <c r="K121" s="36"/>
      <c r="L121" s="36"/>
      <c r="M121" s="36"/>
    </row>
    <row r="122" spans="1:13">
      <c r="A122" s="3" t="s">
        <v>65</v>
      </c>
      <c r="B122" s="3">
        <v>0.161</v>
      </c>
      <c r="C122" s="3">
        <v>0.154</v>
      </c>
      <c r="D122" s="3">
        <v>0.165</v>
      </c>
      <c r="E122" s="3">
        <v>0.0996666666666667</v>
      </c>
      <c r="F122" s="3">
        <v>0.006</v>
      </c>
      <c r="G122" s="28">
        <v>0.0058</v>
      </c>
      <c r="H122" s="3">
        <v>0.0062</v>
      </c>
      <c r="I122" s="3">
        <v>15</v>
      </c>
      <c r="J122" s="36"/>
      <c r="K122" s="36"/>
      <c r="L122" s="36"/>
      <c r="M122" s="36"/>
    </row>
    <row r="123" spans="1:9">
      <c r="A123" s="3" t="s">
        <v>66</v>
      </c>
      <c r="B123" s="3">
        <v>0.17</v>
      </c>
      <c r="C123" s="3">
        <v>0.19</v>
      </c>
      <c r="D123" s="3">
        <v>0.175</v>
      </c>
      <c r="E123" s="3">
        <v>0.0996666666666667</v>
      </c>
      <c r="F123" s="3">
        <v>0.00691</v>
      </c>
      <c r="G123" s="28">
        <v>0.00694</v>
      </c>
      <c r="H123" s="28">
        <v>0.00692</v>
      </c>
      <c r="I123" s="3">
        <v>15</v>
      </c>
    </row>
    <row r="124" spans="1:9">
      <c r="A124" s="3" t="s">
        <v>67</v>
      </c>
      <c r="B124" s="3">
        <v>0.165</v>
      </c>
      <c r="C124" s="3">
        <v>0.154</v>
      </c>
      <c r="D124" s="3">
        <v>0.164</v>
      </c>
      <c r="E124" s="3">
        <v>0.0996666666666667</v>
      </c>
      <c r="F124" s="3">
        <v>0.0071</v>
      </c>
      <c r="G124" s="28">
        <v>0.00704</v>
      </c>
      <c r="H124" s="28">
        <v>0.00712</v>
      </c>
      <c r="I124" s="3">
        <v>15</v>
      </c>
    </row>
    <row r="125" spans="1:9">
      <c r="A125" s="3" t="s">
        <v>68</v>
      </c>
      <c r="B125" s="3">
        <v>0.159</v>
      </c>
      <c r="C125" s="3">
        <v>0.142</v>
      </c>
      <c r="D125" s="3">
        <v>0.165</v>
      </c>
      <c r="E125" s="3">
        <v>0.0996666666666667</v>
      </c>
      <c r="F125" s="3">
        <v>0.00672</v>
      </c>
      <c r="G125" s="28">
        <v>0.00668</v>
      </c>
      <c r="H125" s="28">
        <v>0.00672</v>
      </c>
      <c r="I125" s="3">
        <v>15</v>
      </c>
    </row>
    <row r="126" spans="1:9">
      <c r="A126" s="3" t="s">
        <v>69</v>
      </c>
      <c r="B126" s="3">
        <v>0.162</v>
      </c>
      <c r="C126" s="3">
        <v>0.154</v>
      </c>
      <c r="D126" s="3">
        <v>0.155</v>
      </c>
      <c r="E126" s="3">
        <v>0.0996666666666667</v>
      </c>
      <c r="F126" s="3">
        <v>0.00753</v>
      </c>
      <c r="G126" s="28">
        <v>0.00751</v>
      </c>
      <c r="H126" s="28">
        <v>0.00747</v>
      </c>
      <c r="I126" s="3">
        <v>15</v>
      </c>
    </row>
    <row r="127" spans="1:9">
      <c r="A127" s="3" t="s">
        <v>70</v>
      </c>
      <c r="B127" s="3">
        <v>0.179</v>
      </c>
      <c r="C127" s="3">
        <v>0.191</v>
      </c>
      <c r="D127" s="3">
        <v>0.18</v>
      </c>
      <c r="E127" s="3">
        <v>0.0996666666666667</v>
      </c>
      <c r="F127" s="3">
        <v>0.00611</v>
      </c>
      <c r="G127" s="28">
        <v>0.00613</v>
      </c>
      <c r="H127" s="28">
        <v>0.0061</v>
      </c>
      <c r="I127" s="3">
        <v>15</v>
      </c>
    </row>
    <row r="128" spans="1:9">
      <c r="A128" s="3" t="s">
        <v>71</v>
      </c>
      <c r="B128" s="3">
        <v>0.141</v>
      </c>
      <c r="C128" s="3">
        <v>0.15</v>
      </c>
      <c r="D128" s="3">
        <v>0.142</v>
      </c>
      <c r="E128" s="3">
        <v>0.0996666666666667</v>
      </c>
      <c r="F128" s="3">
        <v>0.0067</v>
      </c>
      <c r="G128" s="28">
        <v>0.00671</v>
      </c>
      <c r="H128" s="28">
        <v>0.00668</v>
      </c>
      <c r="I128" s="3">
        <v>15</v>
      </c>
    </row>
    <row r="129" spans="1:9">
      <c r="A129" s="3" t="s">
        <v>72</v>
      </c>
      <c r="B129" s="3">
        <v>0.152</v>
      </c>
      <c r="C129" s="3">
        <v>0.15</v>
      </c>
      <c r="D129" s="3">
        <v>0.145</v>
      </c>
      <c r="E129" s="3">
        <v>0.0996666666666667</v>
      </c>
      <c r="F129" s="3">
        <v>0.00701</v>
      </c>
      <c r="G129" s="28">
        <v>0.00708</v>
      </c>
      <c r="H129" s="28">
        <v>0.00705</v>
      </c>
      <c r="I129" s="3">
        <v>15</v>
      </c>
    </row>
    <row r="130" spans="1:9">
      <c r="A130" s="3" t="s">
        <v>73</v>
      </c>
      <c r="B130" s="3">
        <v>0.147</v>
      </c>
      <c r="C130" s="3">
        <v>0.148</v>
      </c>
      <c r="D130" s="3">
        <v>0.144</v>
      </c>
      <c r="E130" s="3">
        <v>0.0996666666666667</v>
      </c>
      <c r="F130" s="3">
        <v>0.00664</v>
      </c>
      <c r="G130" s="28">
        <v>0.00661</v>
      </c>
      <c r="H130" s="28">
        <v>0.00657</v>
      </c>
      <c r="I130" s="3">
        <v>15</v>
      </c>
    </row>
    <row r="131" spans="1:9">
      <c r="A131" s="3" t="s">
        <v>74</v>
      </c>
      <c r="B131" s="3">
        <v>0.175</v>
      </c>
      <c r="C131" s="3">
        <v>0.178</v>
      </c>
      <c r="D131" s="3">
        <v>0.174</v>
      </c>
      <c r="E131" s="3">
        <v>0.0996666666666667</v>
      </c>
      <c r="F131" s="3">
        <v>0.00641</v>
      </c>
      <c r="G131" s="28">
        <v>0.00638</v>
      </c>
      <c r="H131" s="28">
        <v>0.00642</v>
      </c>
      <c r="I131" s="3">
        <v>15</v>
      </c>
    </row>
    <row r="132" spans="1:9">
      <c r="A132" s="3" t="s">
        <v>75</v>
      </c>
      <c r="B132" s="3">
        <v>0.14</v>
      </c>
      <c r="C132" s="3">
        <v>0.144</v>
      </c>
      <c r="D132" s="3">
        <v>0.142</v>
      </c>
      <c r="E132" s="3">
        <v>0.0996666666666667</v>
      </c>
      <c r="F132" s="3">
        <v>0.00672</v>
      </c>
      <c r="G132" s="28">
        <v>0.00672</v>
      </c>
      <c r="H132" s="28">
        <v>0.0067</v>
      </c>
      <c r="I132" s="3">
        <v>15</v>
      </c>
    </row>
    <row r="133" spans="1:9">
      <c r="A133" s="3" t="s">
        <v>76</v>
      </c>
      <c r="B133" s="3">
        <v>0.171</v>
      </c>
      <c r="C133" s="3">
        <v>0.179</v>
      </c>
      <c r="D133" s="3">
        <v>0.178</v>
      </c>
      <c r="E133" s="3">
        <v>0.0996666666666667</v>
      </c>
      <c r="F133" s="3">
        <v>0.00878</v>
      </c>
      <c r="G133" s="28">
        <v>0.00881</v>
      </c>
      <c r="H133" s="28">
        <v>0.00882</v>
      </c>
      <c r="I133" s="3">
        <v>15</v>
      </c>
    </row>
  </sheetData>
  <mergeCells count="68">
    <mergeCell ref="A1:R1"/>
    <mergeCell ref="B2:E2"/>
    <mergeCell ref="F2:I2"/>
    <mergeCell ref="K2:N2"/>
    <mergeCell ref="A25:R25"/>
    <mergeCell ref="A26:R26"/>
    <mergeCell ref="A27:G27"/>
    <mergeCell ref="J27:P27"/>
    <mergeCell ref="Q27:S27"/>
    <mergeCell ref="B28:D28"/>
    <mergeCell ref="E28:G28"/>
    <mergeCell ref="K28:M28"/>
    <mergeCell ref="N28:P28"/>
    <mergeCell ref="B30:D30"/>
    <mergeCell ref="E30:G30"/>
    <mergeCell ref="K30:M30"/>
    <mergeCell ref="N30:P30"/>
    <mergeCell ref="B35:D35"/>
    <mergeCell ref="E35:G35"/>
    <mergeCell ref="K35:M35"/>
    <mergeCell ref="N35:P35"/>
    <mergeCell ref="A39:R39"/>
    <mergeCell ref="A40:G40"/>
    <mergeCell ref="J40:P40"/>
    <mergeCell ref="Q40:S40"/>
    <mergeCell ref="B41:D41"/>
    <mergeCell ref="E41:G41"/>
    <mergeCell ref="B43:D43"/>
    <mergeCell ref="E43:G43"/>
    <mergeCell ref="K43:M43"/>
    <mergeCell ref="N43:P43"/>
    <mergeCell ref="A52:R52"/>
    <mergeCell ref="A53:G53"/>
    <mergeCell ref="J53:P53"/>
    <mergeCell ref="Q53:S53"/>
    <mergeCell ref="B54:D54"/>
    <mergeCell ref="E54:G54"/>
    <mergeCell ref="K54:M54"/>
    <mergeCell ref="N54:P54"/>
    <mergeCell ref="A64:R64"/>
    <mergeCell ref="A65:G65"/>
    <mergeCell ref="J65:P65"/>
    <mergeCell ref="Q65:S65"/>
    <mergeCell ref="B66:D66"/>
    <mergeCell ref="E66:G66"/>
    <mergeCell ref="K66:M66"/>
    <mergeCell ref="N66:P66"/>
    <mergeCell ref="A76:N76"/>
    <mergeCell ref="A77:N77"/>
    <mergeCell ref="A83:D83"/>
    <mergeCell ref="E83:J83"/>
    <mergeCell ref="K83:M83"/>
    <mergeCell ref="A93:M93"/>
    <mergeCell ref="B95:E95"/>
    <mergeCell ref="F95:I95"/>
    <mergeCell ref="J95:L95"/>
    <mergeCell ref="C96:E96"/>
    <mergeCell ref="B106:E106"/>
    <mergeCell ref="F106:I106"/>
    <mergeCell ref="J106:L106"/>
    <mergeCell ref="A116:G116"/>
    <mergeCell ref="J117:K117"/>
    <mergeCell ref="A119:D119"/>
    <mergeCell ref="F119:H119"/>
    <mergeCell ref="A2:A24"/>
    <mergeCell ref="A94:A104"/>
    <mergeCell ref="A105:A115"/>
    <mergeCell ref="J2:J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董文博</dc:creator>
  <cp:lastModifiedBy>人间沙</cp:lastModifiedBy>
  <dcterms:created xsi:type="dcterms:W3CDTF">2023-05-12T11:15:00Z</dcterms:created>
  <dcterms:modified xsi:type="dcterms:W3CDTF">2024-08-11T12:20:03Z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1C2EA85E656943CBB33D1781261BF0D2_12</vt:lpwstr>
  </property>
</Properties>
</file>