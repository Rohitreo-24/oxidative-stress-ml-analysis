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339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<sst xmlns="http://schemas.openxmlformats.org/spreadsheetml/2006/main" count="300" uniqueCount="84">
  <si>
    <t>(A) determination of antioxidant activity under lambda-cyhalothrin stress</t>
  </si>
  <si>
    <t>GSTs</t>
  </si>
  <si>
    <t>dsEGFP</t>
  </si>
  <si>
    <t>A1</t>
  </si>
  <si>
    <t>A2</t>
  </si>
  <si>
    <t>W</t>
  </si>
  <si>
    <t>dilution ratio</t>
  </si>
  <si>
    <t>blank control group</t>
  </si>
  <si>
    <t>A3</t>
  </si>
  <si>
    <t>A4</t>
  </si>
  <si>
    <t>CK</t>
  </si>
  <si>
    <t>dsMuGSTs1</t>
  </si>
  <si>
    <t>SOD</t>
  </si>
  <si>
    <t>blank control group1</t>
  </si>
  <si>
    <t>blank control group 2</t>
  </si>
  <si>
    <t>Measured value</t>
  </si>
  <si>
    <t>control</t>
  </si>
  <si>
    <t>POD</t>
  </si>
  <si>
    <t>CAT</t>
  </si>
  <si>
    <t>(B) determination of antioxidant index under lambda-cyhalothrin stress</t>
  </si>
  <si>
    <t>T-AOC</t>
  </si>
  <si>
    <t>Fe concentration</t>
  </si>
  <si>
    <t>Repeat 1</t>
  </si>
  <si>
    <t>Repeat 2</t>
  </si>
  <si>
    <t>Repeat 3</t>
  </si>
  <si>
    <t>H2O2</t>
  </si>
  <si>
    <t xml:space="preserve"> control</t>
  </si>
  <si>
    <t>standard</t>
  </si>
  <si>
    <t>MDA</t>
  </si>
  <si>
    <t>A532</t>
  </si>
  <si>
    <t>A600</t>
  </si>
  <si>
    <t>(C) relative expression of MuGSTs1 under lambda-cyhalothrin stress</t>
  </si>
  <si>
    <t>CT value</t>
  </si>
  <si>
    <t>ACT</t>
  </si>
  <si>
    <t>RPL</t>
  </si>
  <si>
    <t>MuGSTS1</t>
  </si>
  <si>
    <t>CDNA1</t>
  </si>
  <si>
    <t>CDNA2</t>
  </si>
  <si>
    <t>CDNA3</t>
  </si>
  <si>
    <t>(D) determination of detoxase activity under lambda-cyhalothrin stress</t>
  </si>
  <si>
    <t>CarE</t>
  </si>
  <si>
    <t>AchE</t>
  </si>
  <si>
    <t>CYP450</t>
  </si>
  <si>
    <t>concentration</t>
  </si>
  <si>
    <t>OD-1</t>
  </si>
  <si>
    <t>OD-2</t>
  </si>
  <si>
    <t>OD-3</t>
  </si>
  <si>
    <t>OD</t>
  </si>
  <si>
    <t>(E) Efficiency Survival curve of M.usitatus under lambda-cyhalothrin stress</t>
  </si>
  <si>
    <t>Time</t>
  </si>
  <si>
    <t>Repetition 1</t>
  </si>
  <si>
    <t>death</t>
  </si>
  <si>
    <t>survival</t>
  </si>
  <si>
    <t>total quantity</t>
  </si>
  <si>
    <t>1 h</t>
  </si>
  <si>
    <t>3 h</t>
  </si>
  <si>
    <t>6 h</t>
  </si>
  <si>
    <t>12 h</t>
  </si>
  <si>
    <t>24 h</t>
  </si>
  <si>
    <t>48 h</t>
  </si>
  <si>
    <t>UV-A+ LC50 lambda-cyhalothrin</t>
  </si>
  <si>
    <t>survival rate</t>
  </si>
  <si>
    <t>0h-1</t>
  </si>
  <si>
    <t>0h-2</t>
  </si>
  <si>
    <t>0h-3</t>
  </si>
  <si>
    <t>3h-1</t>
  </si>
  <si>
    <t>3h-2</t>
  </si>
  <si>
    <t>3h-3</t>
  </si>
  <si>
    <t>6h-1</t>
  </si>
  <si>
    <t>6h-2</t>
  </si>
  <si>
    <t>6h-3</t>
  </si>
  <si>
    <t>9h-1</t>
  </si>
  <si>
    <t>9h-2</t>
  </si>
  <si>
    <t>9h-3</t>
  </si>
  <si>
    <t>12h-1</t>
  </si>
  <si>
    <t>12h-2</t>
  </si>
  <si>
    <t>12h-3</t>
  </si>
  <si>
    <t>24h-1</t>
  </si>
  <si>
    <t>24h-2</t>
  </si>
  <si>
    <t>24h-3</t>
  </si>
  <si>
    <t>48h-1</t>
  </si>
  <si>
    <t>48h-2</t>
  </si>
  <si>
    <t>48h-3</t>
  </si>
  <si>
    <t>UV-B+ LC50 lambda-cyhalothrin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</si>
</sst>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T-AOC</a:t>
            </a:r>
            <a:r>
              <a:rPr altLang="en-US"/>
              <a:t>标准曲线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[1]Sheet1!$B$7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0186627668308702"/>
                  <c:y val="0.30743223851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{0.05,0.025,0.0125,0.00625,0.003125,0.00156}</c:f>
              <c:numCache>
                <c:formatCode>General</c:formatCode>
                <c:ptCount val="6"/>
                <c:pt idx="0">
                  <c:v>0.05</c:v>
                </c:pt>
                <c:pt idx="1">
                  <c:v>0.025</c:v>
                </c:pt>
                <c:pt idx="2">
                  <c:v>0.0125</c:v>
                </c:pt>
                <c:pt idx="3">
                  <c:v>0.00625</c:v>
                </c:pt>
                <c:pt idx="4">
                  <c:v>0.003125</c:v>
                </c:pt>
                <c:pt idx="5">
                  <c:v>0.00156</c:v>
                </c:pt>
              </c:numCache>
            </c:numRef>
          </c:xVal>
          <c:yVal>
            <c:numRef>
              <c:f>{0.065,0.0543333333333333,0.0476666666666667,0.0453333333333333,0.0426666666666667,0.042}</c:f>
              <c:numCache>
                <c:formatCode>General</c:formatCode>
                <c:ptCount val="6"/>
                <c:pt idx="0">
                  <c:v>0.065</c:v>
                </c:pt>
                <c:pt idx="1">
                  <c:v>0.0543333333333333</c:v>
                </c:pt>
                <c:pt idx="2">
                  <c:v>0.0476666666666667</c:v>
                </c:pt>
                <c:pt idx="3">
                  <c:v>0.0453333333333333</c:v>
                </c:pt>
                <c:pt idx="4">
                  <c:v>0.0426666666666667</c:v>
                </c:pt>
                <c:pt idx="5">
                  <c:v>0.042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001609"/>
        <c:axId val="645028273"/>
      </c:scatterChart>
      <c:valAx>
        <c:axId val="4160016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5028273"/>
        <c:crosses val="autoZero"/>
        <c:crossBetween val="midCat"/>
      </c:valAx>
      <c:valAx>
        <c:axId val="6450282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00160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[2]Sheet1!$A$72</c:f>
              <c:strCache>
                <c:ptCount val="1"/>
                <c:pt idx="0">
                  <c:v>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631578947368421"/>
                  <c:y val="-0.18055555555555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[2]Sheet1!$B$71:$G$71</c:f>
              <c:numCache>
                <c:formatCode>General</c:formatCode>
                <c:ptCount val="6"/>
                <c:pt idx="0">
                  <c:v>16</c:v>
                </c:pt>
                <c:pt idx="1">
                  <c:v>8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[2]Sheet1!$B$72:$G$72</c:f>
              <c:numCache>
                <c:formatCode>General</c:formatCode>
                <c:ptCount val="6"/>
                <c:pt idx="0">
                  <c:v>0.504333333333333</c:v>
                </c:pt>
                <c:pt idx="1">
                  <c:v>0.283666666666667</c:v>
                </c:pt>
                <c:pt idx="2">
                  <c:v>0.192666666666667</c:v>
                </c:pt>
                <c:pt idx="3">
                  <c:v>0.118333333333333</c:v>
                </c:pt>
                <c:pt idx="4">
                  <c:v>0.091</c:v>
                </c:pt>
                <c:pt idx="5">
                  <c:v>0.06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359811"/>
        <c:axId val="359326307"/>
      </c:scatterChart>
      <c:valAx>
        <c:axId val="7203598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326307"/>
        <c:crosses val="autoZero"/>
        <c:crossBetween val="midCat"/>
      </c:valAx>
      <c:valAx>
        <c:axId val="3593263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35981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542925</xdr:colOff>
      <xdr:row>66</xdr:row>
      <xdr:rowOff>114300</xdr:rowOff>
    </xdr:from>
    <xdr:to>
      <xdr:col>16</xdr:col>
      <xdr:colOff>553085</xdr:colOff>
      <xdr:row>81</xdr:row>
      <xdr:rowOff>62230</xdr:rowOff>
    </xdr:to>
    <xdr:graphicFrame>
      <xdr:nvGraphicFramePr>
        <xdr:cNvPr id="2" name="图表 1"/>
        <xdr:cNvGraphicFramePr/>
      </xdr:nvGraphicFramePr>
      <xdr:xfrm>
        <a:off x="8229600" y="12668250"/>
        <a:ext cx="4286885" cy="2805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164</xdr:row>
      <xdr:rowOff>0</xdr:rowOff>
    </xdr:from>
    <xdr:to>
      <xdr:col>15</xdr:col>
      <xdr:colOff>25400</xdr:colOff>
      <xdr:row>180</xdr:row>
      <xdr:rowOff>0</xdr:rowOff>
    </xdr:to>
    <xdr:graphicFrame>
      <xdr:nvGraphicFramePr>
        <xdr:cNvPr id="3" name="图表 2"/>
        <xdr:cNvGraphicFramePr/>
      </xdr:nvGraphicFramePr>
      <xdr:xfrm>
        <a:off x="6315075" y="31165800"/>
        <a:ext cx="4987925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33891;&#25991;&#21338;\Documents\&#24037;&#20316;&#31807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33891;&#25991;&#21338;\Desktop\GST\MuGSTs&#35299;&#27602;&#20195;&#35874;&#33021;&#21147;\GST&#20316;&#20026;&#25239;&#27687;&#21270;&#21058;&#21442;&#19982;&#25239;&#33647;&#2461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71">
          <cell r="B71">
            <v>16</v>
          </cell>
          <cell r="C71">
            <v>8</v>
          </cell>
          <cell r="D71">
            <v>4</v>
          </cell>
          <cell r="E71">
            <v>2</v>
          </cell>
          <cell r="F71">
            <v>1</v>
          </cell>
          <cell r="G71">
            <v>0</v>
          </cell>
        </row>
        <row r="72">
          <cell r="A72" t="str">
            <v>OD</v>
          </cell>
          <cell r="B72">
            <v>0.504333333333333</v>
          </cell>
          <cell r="C72">
            <v>0.283666666666667</v>
          </cell>
          <cell r="D72">
            <v>0.192666666666667</v>
          </cell>
          <cell r="E72">
            <v>0.118333333333333</v>
          </cell>
          <cell r="F72">
            <v>0.091</v>
          </cell>
          <cell r="G72">
            <v>0.06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49"/>
  <sheetViews>
    <sheetView tabSelected="1" topLeftCell="A188" workbookViewId="0">
      <selection activeCell="A204" sqref="A204:A226"/>
    </sheetView>
  </sheetViews>
  <sheetFormatPr defaultColWidth="9" defaultRowHeight="15"/>
  <cols>
    <col min="1" max="5" width="9" style="1"/>
    <col min="6" max="8" width="12.625" style="1"/>
    <col min="9" max="10" width="9" style="1"/>
    <col min="11" max="11" width="11.125" style="1"/>
    <col min="12" max="16384" width="9" style="1"/>
  </cols>
  <sheetData>
    <row r="2" ht="14.25" spans="1:10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>
      <c r="A4" s="5" t="s">
        <v>2</v>
      </c>
      <c r="B4" s="6"/>
      <c r="C4" s="6" t="s">
        <v>3</v>
      </c>
      <c r="D4" s="6"/>
      <c r="E4" s="6"/>
      <c r="F4" s="6" t="s">
        <v>4</v>
      </c>
      <c r="G4" s="6"/>
      <c r="H4" s="6"/>
      <c r="I4" s="5" t="s">
        <v>5</v>
      </c>
      <c r="J4" s="5" t="s">
        <v>6</v>
      </c>
    </row>
    <row r="5" spans="1:10">
      <c r="A5" s="5"/>
      <c r="B5" s="6" t="s">
        <v>7</v>
      </c>
      <c r="C5" s="6">
        <v>0.627</v>
      </c>
      <c r="D5" s="6">
        <v>0.642</v>
      </c>
      <c r="E5" s="6">
        <v>0.639</v>
      </c>
      <c r="F5" s="6">
        <v>0.632</v>
      </c>
      <c r="G5" s="6">
        <v>0.648</v>
      </c>
      <c r="H5" s="6">
        <v>0.644</v>
      </c>
      <c r="I5" s="5"/>
      <c r="J5" s="5"/>
    </row>
    <row r="6" spans="1:10">
      <c r="A6" s="5"/>
      <c r="B6" s="6"/>
      <c r="C6" s="6" t="s">
        <v>8</v>
      </c>
      <c r="D6" s="6"/>
      <c r="E6" s="6"/>
      <c r="F6" s="6" t="s">
        <v>9</v>
      </c>
      <c r="G6" s="6"/>
      <c r="H6" s="6"/>
      <c r="I6" s="5"/>
      <c r="J6" s="5"/>
    </row>
    <row r="7" spans="1:10">
      <c r="A7" s="5"/>
      <c r="B7" s="6" t="s">
        <v>10</v>
      </c>
      <c r="C7" s="6">
        <v>0.474</v>
      </c>
      <c r="D7" s="6">
        <v>0.556</v>
      </c>
      <c r="E7" s="7">
        <v>0.479</v>
      </c>
      <c r="F7" s="6">
        <v>0.6</v>
      </c>
      <c r="G7" s="6">
        <v>0.66</v>
      </c>
      <c r="H7" s="6">
        <v>0.618</v>
      </c>
      <c r="I7" s="6">
        <v>0.006</v>
      </c>
      <c r="J7" s="6">
        <v>3</v>
      </c>
    </row>
    <row r="8" spans="1:10">
      <c r="A8" s="5"/>
      <c r="B8" s="6">
        <v>20</v>
      </c>
      <c r="C8" s="6">
        <v>0.505</v>
      </c>
      <c r="D8" s="7">
        <v>0.478</v>
      </c>
      <c r="E8" s="6">
        <v>0.505</v>
      </c>
      <c r="F8" s="6">
        <v>0.581</v>
      </c>
      <c r="G8" s="7">
        <v>0.561</v>
      </c>
      <c r="H8" s="6">
        <v>0.599</v>
      </c>
      <c r="I8" s="6">
        <v>0.004</v>
      </c>
      <c r="J8" s="6">
        <v>5</v>
      </c>
    </row>
    <row r="9" spans="1:10">
      <c r="A9" s="5"/>
      <c r="B9" s="6">
        <v>100</v>
      </c>
      <c r="C9" s="6">
        <v>0.428</v>
      </c>
      <c r="D9" s="6">
        <v>0.429</v>
      </c>
      <c r="E9" s="6">
        <v>0.45</v>
      </c>
      <c r="F9" s="6">
        <v>0.545</v>
      </c>
      <c r="G9" s="6">
        <v>0.552</v>
      </c>
      <c r="H9" s="6">
        <v>0.572</v>
      </c>
      <c r="I9" s="6">
        <v>0.002</v>
      </c>
      <c r="J9" s="6">
        <v>10</v>
      </c>
    </row>
    <row r="10" spans="1:10">
      <c r="A10" s="5"/>
      <c r="B10" s="6">
        <v>500</v>
      </c>
      <c r="C10" s="6">
        <v>0.492</v>
      </c>
      <c r="D10" s="7">
        <v>0.484</v>
      </c>
      <c r="E10" s="6">
        <v>0.443</v>
      </c>
      <c r="F10" s="6">
        <v>0.554</v>
      </c>
      <c r="G10" s="7">
        <v>0.55</v>
      </c>
      <c r="H10" s="6">
        <v>0.549</v>
      </c>
      <c r="I10" s="6">
        <v>0.004</v>
      </c>
      <c r="J10" s="6">
        <v>5</v>
      </c>
    </row>
    <row r="11" spans="1:10">
      <c r="A11" s="5"/>
      <c r="B11" s="6">
        <v>2500</v>
      </c>
      <c r="C11" s="6">
        <v>0.471</v>
      </c>
      <c r="D11" s="6">
        <v>0.461</v>
      </c>
      <c r="E11" s="6">
        <v>0.469</v>
      </c>
      <c r="F11" s="6">
        <v>0.504</v>
      </c>
      <c r="G11" s="6">
        <v>0.496</v>
      </c>
      <c r="H11" s="6">
        <v>0.491</v>
      </c>
      <c r="I11" s="6">
        <v>0.004</v>
      </c>
      <c r="J11" s="6">
        <v>5</v>
      </c>
    </row>
    <row r="12" spans="1:10">
      <c r="A12" s="5" t="s">
        <v>11</v>
      </c>
      <c r="B12" s="6"/>
      <c r="C12" s="6" t="s">
        <v>3</v>
      </c>
      <c r="D12" s="6"/>
      <c r="E12" s="6"/>
      <c r="F12" s="6" t="s">
        <v>4</v>
      </c>
      <c r="G12" s="6"/>
      <c r="H12" s="6"/>
      <c r="I12" s="5"/>
      <c r="J12" s="5"/>
    </row>
    <row r="13" spans="1:10">
      <c r="A13" s="5"/>
      <c r="B13" s="6" t="s">
        <v>7</v>
      </c>
      <c r="C13" s="6">
        <v>0.627</v>
      </c>
      <c r="D13" s="6">
        <v>0.642</v>
      </c>
      <c r="E13" s="6">
        <v>0.639</v>
      </c>
      <c r="F13" s="6">
        <v>0.632</v>
      </c>
      <c r="G13" s="6">
        <v>0.648</v>
      </c>
      <c r="H13" s="6">
        <v>0.644</v>
      </c>
      <c r="I13" s="5"/>
      <c r="J13" s="5"/>
    </row>
    <row r="14" spans="1:10">
      <c r="A14" s="5"/>
      <c r="B14" s="6"/>
      <c r="C14" s="6" t="s">
        <v>8</v>
      </c>
      <c r="D14" s="6"/>
      <c r="E14" s="6"/>
      <c r="F14" s="6" t="s">
        <v>9</v>
      </c>
      <c r="G14" s="6"/>
      <c r="H14" s="6"/>
      <c r="I14" s="5"/>
      <c r="J14" s="5"/>
    </row>
    <row r="15" spans="1:10">
      <c r="A15" s="5"/>
      <c r="B15" s="6" t="s">
        <v>10</v>
      </c>
      <c r="C15" s="6">
        <v>0.502</v>
      </c>
      <c r="D15" s="6">
        <v>0.505</v>
      </c>
      <c r="E15" s="6">
        <v>0.49</v>
      </c>
      <c r="F15" s="6">
        <v>0.537</v>
      </c>
      <c r="G15" s="6">
        <v>0.541</v>
      </c>
      <c r="H15" s="6">
        <v>0.539</v>
      </c>
      <c r="I15" s="6">
        <v>0.004</v>
      </c>
      <c r="J15" s="6">
        <v>5</v>
      </c>
    </row>
    <row r="16" spans="1:10">
      <c r="A16" s="5"/>
      <c r="B16" s="6">
        <v>20</v>
      </c>
      <c r="C16" s="6">
        <v>0.535</v>
      </c>
      <c r="D16" s="7">
        <v>0.482</v>
      </c>
      <c r="E16" s="6">
        <v>0.541</v>
      </c>
      <c r="F16" s="6">
        <v>0.607</v>
      </c>
      <c r="G16" s="7">
        <v>0.554</v>
      </c>
      <c r="H16" s="6">
        <v>0.604</v>
      </c>
      <c r="I16" s="6">
        <v>0.004</v>
      </c>
      <c r="J16" s="6">
        <v>5</v>
      </c>
    </row>
    <row r="17" spans="1:10">
      <c r="A17" s="5"/>
      <c r="B17" s="6">
        <v>100</v>
      </c>
      <c r="C17" s="6">
        <v>0.469</v>
      </c>
      <c r="D17" s="6">
        <v>0.471</v>
      </c>
      <c r="E17" s="6">
        <v>0.457</v>
      </c>
      <c r="F17" s="6">
        <v>0.521</v>
      </c>
      <c r="G17" s="6">
        <v>0.532</v>
      </c>
      <c r="H17" s="6">
        <v>0.525</v>
      </c>
      <c r="I17" s="6">
        <v>0.003</v>
      </c>
      <c r="J17" s="6">
        <v>6</v>
      </c>
    </row>
    <row r="18" spans="1:10">
      <c r="A18" s="5"/>
      <c r="B18" s="6">
        <v>500</v>
      </c>
      <c r="C18" s="6">
        <v>0.516</v>
      </c>
      <c r="D18" s="6">
        <v>0.51</v>
      </c>
      <c r="E18" s="6">
        <v>0.489</v>
      </c>
      <c r="F18" s="6">
        <v>0.569</v>
      </c>
      <c r="G18" s="6">
        <v>0.558</v>
      </c>
      <c r="H18" s="6">
        <v>0.538</v>
      </c>
      <c r="I18" s="6">
        <v>0.004</v>
      </c>
      <c r="J18" s="6">
        <v>5</v>
      </c>
    </row>
    <row r="19" spans="1:10">
      <c r="A19" s="5"/>
      <c r="B19" s="6">
        <v>2500</v>
      </c>
      <c r="C19" s="6">
        <v>0.533</v>
      </c>
      <c r="D19" s="6">
        <v>0.531</v>
      </c>
      <c r="E19" s="6">
        <v>0.577</v>
      </c>
      <c r="F19" s="6">
        <v>0.561</v>
      </c>
      <c r="G19" s="6">
        <v>0.555</v>
      </c>
      <c r="H19" s="6">
        <v>0.609</v>
      </c>
      <c r="I19" s="6">
        <v>0.005</v>
      </c>
      <c r="J19" s="6">
        <v>4</v>
      </c>
    </row>
    <row r="21" spans="1:10">
      <c r="A21" s="4" t="s">
        <v>12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5" t="s">
        <v>2</v>
      </c>
      <c r="B22" s="6"/>
      <c r="C22" s="5" t="s">
        <v>13</v>
      </c>
      <c r="D22" s="5"/>
      <c r="E22" s="5"/>
      <c r="F22" s="5" t="s">
        <v>14</v>
      </c>
      <c r="G22" s="5"/>
      <c r="H22" s="5"/>
      <c r="I22" s="5" t="s">
        <v>5</v>
      </c>
      <c r="J22" s="5" t="s">
        <v>6</v>
      </c>
    </row>
    <row r="23" spans="1:10">
      <c r="A23" s="5"/>
      <c r="B23" s="6" t="s">
        <v>7</v>
      </c>
      <c r="C23" s="6">
        <v>0.475</v>
      </c>
      <c r="D23" s="6">
        <v>0.503</v>
      </c>
      <c r="E23" s="6">
        <v>0.515</v>
      </c>
      <c r="F23" s="6">
        <v>0.176</v>
      </c>
      <c r="G23" s="6">
        <v>0.167</v>
      </c>
      <c r="H23" s="6">
        <v>0.152</v>
      </c>
      <c r="I23" s="5"/>
      <c r="J23" s="5"/>
    </row>
    <row r="24" spans="1:10">
      <c r="A24" s="5"/>
      <c r="B24" s="6"/>
      <c r="C24" s="5" t="s">
        <v>15</v>
      </c>
      <c r="D24" s="5"/>
      <c r="E24" s="5"/>
      <c r="F24" s="5" t="s">
        <v>16</v>
      </c>
      <c r="G24" s="5"/>
      <c r="H24" s="5"/>
      <c r="I24" s="5"/>
      <c r="J24" s="5"/>
    </row>
    <row r="25" spans="1:10">
      <c r="A25" s="5"/>
      <c r="B25" s="6" t="s">
        <v>10</v>
      </c>
      <c r="C25" s="6">
        <v>0.3</v>
      </c>
      <c r="D25" s="6">
        <v>0.318</v>
      </c>
      <c r="E25" s="6">
        <v>0.301</v>
      </c>
      <c r="F25" s="6">
        <v>0.172</v>
      </c>
      <c r="G25" s="6">
        <v>0.174</v>
      </c>
      <c r="H25" s="6">
        <v>0.165</v>
      </c>
      <c r="I25" s="6">
        <v>0.006</v>
      </c>
      <c r="J25" s="6">
        <v>3</v>
      </c>
    </row>
    <row r="26" spans="1:10">
      <c r="A26" s="5"/>
      <c r="B26" s="6">
        <v>20</v>
      </c>
      <c r="C26" s="6">
        <v>0.355</v>
      </c>
      <c r="D26" s="6">
        <v>0.311</v>
      </c>
      <c r="E26" s="6">
        <v>0.324</v>
      </c>
      <c r="F26" s="6">
        <v>0.208</v>
      </c>
      <c r="G26" s="6">
        <v>0.19</v>
      </c>
      <c r="H26" s="6">
        <v>0.213</v>
      </c>
      <c r="I26" s="6">
        <v>0.004</v>
      </c>
      <c r="J26" s="6">
        <v>5</v>
      </c>
    </row>
    <row r="27" spans="1:10">
      <c r="A27" s="5"/>
      <c r="B27" s="6">
        <v>100</v>
      </c>
      <c r="C27" s="6">
        <v>0.315</v>
      </c>
      <c r="D27" s="6">
        <v>0.305</v>
      </c>
      <c r="E27" s="6">
        <v>0.319</v>
      </c>
      <c r="F27" s="6">
        <v>0.177</v>
      </c>
      <c r="G27" s="6">
        <v>0.182</v>
      </c>
      <c r="H27" s="6">
        <v>0.188</v>
      </c>
      <c r="I27" s="6">
        <v>0.002</v>
      </c>
      <c r="J27" s="6">
        <v>10</v>
      </c>
    </row>
    <row r="28" spans="1:10">
      <c r="A28" s="5"/>
      <c r="B28" s="6">
        <v>500</v>
      </c>
      <c r="C28" s="6">
        <v>0.322</v>
      </c>
      <c r="D28" s="6">
        <v>0.298</v>
      </c>
      <c r="E28" s="6">
        <v>0.309</v>
      </c>
      <c r="F28" s="6">
        <v>0.204</v>
      </c>
      <c r="G28" s="6">
        <v>0.201</v>
      </c>
      <c r="H28" s="6">
        <v>0.192</v>
      </c>
      <c r="I28" s="6">
        <v>0.004</v>
      </c>
      <c r="J28" s="6">
        <v>5</v>
      </c>
    </row>
    <row r="29" spans="1:10">
      <c r="A29" s="5"/>
      <c r="B29" s="6">
        <v>2500</v>
      </c>
      <c r="C29" s="6">
        <v>0.318</v>
      </c>
      <c r="D29" s="6">
        <v>0.343</v>
      </c>
      <c r="E29" s="6">
        <v>0.336</v>
      </c>
      <c r="F29" s="6">
        <v>0.182</v>
      </c>
      <c r="G29" s="6">
        <v>0.185</v>
      </c>
      <c r="H29" s="6">
        <v>0.194</v>
      </c>
      <c r="I29" s="6">
        <v>0.004</v>
      </c>
      <c r="J29" s="6">
        <v>5</v>
      </c>
    </row>
    <row r="30" spans="1:10">
      <c r="A30" s="5" t="s">
        <v>11</v>
      </c>
      <c r="B30" s="6"/>
      <c r="C30" s="5" t="s">
        <v>15</v>
      </c>
      <c r="D30" s="5"/>
      <c r="E30" s="5"/>
      <c r="F30" s="5" t="s">
        <v>16</v>
      </c>
      <c r="G30" s="5"/>
      <c r="H30" s="5"/>
      <c r="I30" s="5"/>
      <c r="J30" s="5"/>
    </row>
    <row r="31" spans="1:10">
      <c r="A31" s="5"/>
      <c r="B31" s="6" t="s">
        <v>10</v>
      </c>
      <c r="C31" s="6">
        <v>0.341</v>
      </c>
      <c r="D31" s="6">
        <v>0.367</v>
      </c>
      <c r="E31" s="6">
        <v>0.361</v>
      </c>
      <c r="F31" s="6">
        <v>0.184</v>
      </c>
      <c r="G31" s="6">
        <v>0.206</v>
      </c>
      <c r="H31" s="6">
        <v>0.188</v>
      </c>
      <c r="I31" s="6">
        <v>0.004</v>
      </c>
      <c r="J31" s="6">
        <v>5</v>
      </c>
    </row>
    <row r="32" spans="1:10">
      <c r="A32" s="5"/>
      <c r="B32" s="6">
        <v>20</v>
      </c>
      <c r="C32" s="6">
        <v>0.377</v>
      </c>
      <c r="D32" s="6">
        <v>0.383</v>
      </c>
      <c r="E32" s="6">
        <v>0.38</v>
      </c>
      <c r="F32" s="6">
        <v>0.192</v>
      </c>
      <c r="G32" s="6">
        <v>0.194</v>
      </c>
      <c r="H32" s="6">
        <v>0.187</v>
      </c>
      <c r="I32" s="6">
        <v>0.004</v>
      </c>
      <c r="J32" s="6">
        <v>5</v>
      </c>
    </row>
    <row r="33" spans="1:10">
      <c r="A33" s="5"/>
      <c r="B33" s="6">
        <v>100</v>
      </c>
      <c r="C33" s="6">
        <v>0.358</v>
      </c>
      <c r="D33" s="6">
        <v>0.394</v>
      </c>
      <c r="E33" s="6">
        <v>0.366</v>
      </c>
      <c r="F33" s="6">
        <v>0.186</v>
      </c>
      <c r="G33" s="6">
        <v>0.189</v>
      </c>
      <c r="H33" s="6">
        <v>0.197</v>
      </c>
      <c r="I33" s="6">
        <v>0.003</v>
      </c>
      <c r="J33" s="6">
        <v>6</v>
      </c>
    </row>
    <row r="34" spans="1:10">
      <c r="A34" s="5"/>
      <c r="B34" s="6">
        <v>500</v>
      </c>
      <c r="C34" s="6">
        <v>0.33</v>
      </c>
      <c r="D34" s="6">
        <v>0.347</v>
      </c>
      <c r="E34" s="6">
        <v>0.335</v>
      </c>
      <c r="F34" s="6">
        <v>0.194</v>
      </c>
      <c r="G34" s="6">
        <v>0.203</v>
      </c>
      <c r="H34" s="6">
        <v>0.22</v>
      </c>
      <c r="I34" s="6">
        <v>0.004</v>
      </c>
      <c r="J34" s="6">
        <v>5</v>
      </c>
    </row>
    <row r="35" spans="1:10">
      <c r="A35" s="5"/>
      <c r="B35" s="6">
        <v>2500</v>
      </c>
      <c r="C35" s="6">
        <v>0.318</v>
      </c>
      <c r="D35" s="6">
        <v>0.322</v>
      </c>
      <c r="E35" s="6">
        <v>0.337</v>
      </c>
      <c r="F35" s="6">
        <v>0.21</v>
      </c>
      <c r="G35" s="6">
        <v>0.24</v>
      </c>
      <c r="H35" s="6">
        <v>0.215</v>
      </c>
      <c r="I35" s="6">
        <v>0.005</v>
      </c>
      <c r="J35" s="6">
        <v>4</v>
      </c>
    </row>
    <row r="37" spans="1:10">
      <c r="A37" s="4" t="s">
        <v>17</v>
      </c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5" t="s">
        <v>2</v>
      </c>
      <c r="B38" s="6"/>
      <c r="C38" s="6" t="s">
        <v>3</v>
      </c>
      <c r="D38" s="6"/>
      <c r="E38" s="6"/>
      <c r="F38" s="6" t="s">
        <v>4</v>
      </c>
      <c r="G38" s="6"/>
      <c r="H38" s="6"/>
      <c r="I38" s="5" t="s">
        <v>5</v>
      </c>
      <c r="J38" s="5" t="s">
        <v>6</v>
      </c>
    </row>
    <row r="39" spans="1:10">
      <c r="A39" s="5"/>
      <c r="B39" s="6" t="s">
        <v>10</v>
      </c>
      <c r="C39" s="6">
        <v>0.1</v>
      </c>
      <c r="D39" s="6">
        <v>0.118</v>
      </c>
      <c r="E39" s="6">
        <v>0.095</v>
      </c>
      <c r="F39" s="6">
        <v>0.103</v>
      </c>
      <c r="G39" s="6">
        <v>0.121</v>
      </c>
      <c r="H39" s="6">
        <v>0.099</v>
      </c>
      <c r="I39" s="6">
        <v>0.006</v>
      </c>
      <c r="J39" s="6">
        <v>3</v>
      </c>
    </row>
    <row r="40" spans="1:10">
      <c r="A40" s="5"/>
      <c r="B40" s="6">
        <v>20</v>
      </c>
      <c r="C40" s="6">
        <v>0.111</v>
      </c>
      <c r="D40" s="6">
        <v>0.11</v>
      </c>
      <c r="E40" s="6">
        <v>0.113</v>
      </c>
      <c r="F40" s="6">
        <v>0.119</v>
      </c>
      <c r="G40" s="6">
        <v>0.122</v>
      </c>
      <c r="H40" s="6">
        <v>0.121</v>
      </c>
      <c r="I40" s="6">
        <v>0.004</v>
      </c>
      <c r="J40" s="6">
        <v>5</v>
      </c>
    </row>
    <row r="41" spans="1:10">
      <c r="A41" s="5"/>
      <c r="B41" s="6">
        <v>100</v>
      </c>
      <c r="C41" s="6">
        <v>0.099</v>
      </c>
      <c r="D41" s="6">
        <v>0.097</v>
      </c>
      <c r="E41" s="6">
        <v>0.098</v>
      </c>
      <c r="F41" s="6">
        <v>0.103</v>
      </c>
      <c r="G41" s="6">
        <v>0.101</v>
      </c>
      <c r="H41" s="6">
        <v>0.103</v>
      </c>
      <c r="I41" s="6">
        <v>0.002</v>
      </c>
      <c r="J41" s="6">
        <v>10</v>
      </c>
    </row>
    <row r="42" spans="1:10">
      <c r="A42" s="5"/>
      <c r="B42" s="6">
        <v>500</v>
      </c>
      <c r="C42" s="6">
        <v>0.137</v>
      </c>
      <c r="D42" s="6">
        <v>0.117</v>
      </c>
      <c r="E42" s="6">
        <v>0.112</v>
      </c>
      <c r="F42" s="6">
        <v>0.147</v>
      </c>
      <c r="G42" s="6">
        <v>0.129</v>
      </c>
      <c r="H42" s="6">
        <v>0.123</v>
      </c>
      <c r="I42" s="6">
        <v>0.004</v>
      </c>
      <c r="J42" s="6">
        <v>5</v>
      </c>
    </row>
    <row r="43" spans="1:10">
      <c r="A43" s="5"/>
      <c r="B43" s="6">
        <v>2500</v>
      </c>
      <c r="C43" s="6">
        <v>0.114</v>
      </c>
      <c r="D43" s="6">
        <v>0.11</v>
      </c>
      <c r="E43" s="6">
        <v>0.106</v>
      </c>
      <c r="F43" s="6">
        <v>0.12</v>
      </c>
      <c r="G43" s="6">
        <v>0.118</v>
      </c>
      <c r="H43" s="6">
        <v>0.115</v>
      </c>
      <c r="I43" s="6">
        <v>0.004</v>
      </c>
      <c r="J43" s="6">
        <v>5</v>
      </c>
    </row>
    <row r="44" spans="1:10">
      <c r="A44" s="5" t="s">
        <v>11</v>
      </c>
      <c r="B44" s="6"/>
      <c r="C44" s="6" t="s">
        <v>3</v>
      </c>
      <c r="D44" s="6"/>
      <c r="E44" s="6"/>
      <c r="F44" s="6" t="s">
        <v>4</v>
      </c>
      <c r="G44" s="6"/>
      <c r="H44" s="6"/>
      <c r="I44" s="5"/>
      <c r="J44" s="5"/>
    </row>
    <row r="45" spans="1:10">
      <c r="A45" s="5"/>
      <c r="B45" s="6" t="s">
        <v>10</v>
      </c>
      <c r="C45" s="6">
        <v>0.111</v>
      </c>
      <c r="D45" s="6">
        <v>0.102</v>
      </c>
      <c r="E45" s="6">
        <v>0.092</v>
      </c>
      <c r="F45" s="6">
        <v>0.121</v>
      </c>
      <c r="G45" s="6">
        <v>0.11</v>
      </c>
      <c r="H45" s="6">
        <v>0.099</v>
      </c>
      <c r="I45" s="6">
        <v>0.004</v>
      </c>
      <c r="J45" s="6">
        <v>5</v>
      </c>
    </row>
    <row r="46" spans="1:10">
      <c r="A46" s="5"/>
      <c r="B46" s="6">
        <v>20</v>
      </c>
      <c r="C46" s="6">
        <v>0.11</v>
      </c>
      <c r="D46" s="6">
        <v>0.102</v>
      </c>
      <c r="E46" s="6">
        <v>0.122</v>
      </c>
      <c r="F46" s="6">
        <v>0.119</v>
      </c>
      <c r="G46" s="6">
        <v>0.114</v>
      </c>
      <c r="H46" s="6">
        <v>0.137</v>
      </c>
      <c r="I46" s="6">
        <v>0.004</v>
      </c>
      <c r="J46" s="6">
        <v>5</v>
      </c>
    </row>
    <row r="47" spans="1:10">
      <c r="A47" s="5"/>
      <c r="B47" s="6">
        <v>100</v>
      </c>
      <c r="C47" s="6">
        <v>0.127</v>
      </c>
      <c r="D47" s="6">
        <v>0.104</v>
      </c>
      <c r="E47" s="6">
        <v>0.111</v>
      </c>
      <c r="F47" s="6">
        <v>0.148</v>
      </c>
      <c r="G47" s="6">
        <v>0.118</v>
      </c>
      <c r="H47" s="6">
        <v>0.13</v>
      </c>
      <c r="I47" s="6">
        <v>0.003</v>
      </c>
      <c r="J47" s="6">
        <v>6</v>
      </c>
    </row>
    <row r="48" spans="1:10">
      <c r="A48" s="5"/>
      <c r="B48" s="6">
        <v>500</v>
      </c>
      <c r="C48" s="6">
        <v>0.111</v>
      </c>
      <c r="D48" s="6">
        <v>0.106</v>
      </c>
      <c r="E48" s="6">
        <v>0.1</v>
      </c>
      <c r="F48" s="6">
        <v>0.128</v>
      </c>
      <c r="G48" s="6">
        <v>0.122</v>
      </c>
      <c r="H48" s="6">
        <v>0.119</v>
      </c>
      <c r="I48" s="6">
        <v>0.004</v>
      </c>
      <c r="J48" s="6">
        <v>5</v>
      </c>
    </row>
    <row r="49" spans="1:10">
      <c r="A49" s="5"/>
      <c r="B49" s="6">
        <v>2500</v>
      </c>
      <c r="C49" s="6">
        <v>0.12</v>
      </c>
      <c r="D49" s="6">
        <v>0.108</v>
      </c>
      <c r="E49" s="6">
        <v>0.105</v>
      </c>
      <c r="F49" s="6">
        <v>0.132</v>
      </c>
      <c r="G49" s="6">
        <v>0.12</v>
      </c>
      <c r="H49" s="6">
        <v>0.113</v>
      </c>
      <c r="I49" s="6">
        <v>0.005</v>
      </c>
      <c r="J49" s="6">
        <v>4</v>
      </c>
    </row>
    <row r="50" spans="2:10">
      <c r="B50" s="8"/>
      <c r="C50" s="8"/>
      <c r="D50" s="8"/>
      <c r="E50" s="8"/>
      <c r="F50" s="8"/>
      <c r="G50" s="8"/>
      <c r="H50" s="8"/>
      <c r="I50" s="8"/>
      <c r="J50" s="8"/>
    </row>
    <row r="51" spans="1:10">
      <c r="A51" s="4" t="s">
        <v>18</v>
      </c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5" t="s">
        <v>2</v>
      </c>
      <c r="B52" s="6"/>
      <c r="C52" s="6" t="s">
        <v>3</v>
      </c>
      <c r="D52" s="6"/>
      <c r="E52" s="6"/>
      <c r="F52" s="6" t="s">
        <v>4</v>
      </c>
      <c r="G52" s="6"/>
      <c r="H52" s="6"/>
      <c r="I52" s="5" t="s">
        <v>5</v>
      </c>
      <c r="J52" s="5" t="s">
        <v>6</v>
      </c>
    </row>
    <row r="53" spans="1:10">
      <c r="A53" s="5"/>
      <c r="B53" s="6" t="s">
        <v>10</v>
      </c>
      <c r="C53" s="6">
        <v>0.731</v>
      </c>
      <c r="D53" s="6">
        <v>0.73</v>
      </c>
      <c r="E53" s="6">
        <v>0.74</v>
      </c>
      <c r="F53" s="6">
        <v>0.709</v>
      </c>
      <c r="G53" s="6">
        <v>0.715</v>
      </c>
      <c r="H53" s="6">
        <v>0.712</v>
      </c>
      <c r="I53" s="6">
        <v>0.006</v>
      </c>
      <c r="J53" s="6">
        <v>3</v>
      </c>
    </row>
    <row r="54" spans="1:10">
      <c r="A54" s="5"/>
      <c r="B54" s="6">
        <v>20</v>
      </c>
      <c r="C54" s="6">
        <v>0.799</v>
      </c>
      <c r="D54" s="6">
        <v>0.762</v>
      </c>
      <c r="E54" s="6">
        <v>0.812</v>
      </c>
      <c r="F54" s="6">
        <v>0.777</v>
      </c>
      <c r="G54" s="6">
        <v>0.746</v>
      </c>
      <c r="H54" s="6">
        <v>0.795</v>
      </c>
      <c r="I54" s="6">
        <v>0.004</v>
      </c>
      <c r="J54" s="6">
        <v>5</v>
      </c>
    </row>
    <row r="55" spans="1:10">
      <c r="A55" s="5"/>
      <c r="B55" s="6">
        <v>100</v>
      </c>
      <c r="C55" s="6">
        <v>0.809</v>
      </c>
      <c r="D55" s="6">
        <v>0.817</v>
      </c>
      <c r="E55" s="6">
        <v>0.794</v>
      </c>
      <c r="F55" s="6">
        <v>0.747</v>
      </c>
      <c r="G55" s="6">
        <v>0.739</v>
      </c>
      <c r="H55" s="6">
        <v>0.724</v>
      </c>
      <c r="I55" s="6">
        <v>0.002</v>
      </c>
      <c r="J55" s="6">
        <v>10</v>
      </c>
    </row>
    <row r="56" spans="1:10">
      <c r="A56" s="5"/>
      <c r="B56" s="6">
        <v>500</v>
      </c>
      <c r="C56" s="6">
        <v>0.879</v>
      </c>
      <c r="D56" s="6">
        <v>0.92</v>
      </c>
      <c r="E56" s="6">
        <v>0.911</v>
      </c>
      <c r="F56" s="6">
        <v>0.803</v>
      </c>
      <c r="G56" s="6">
        <v>0.848</v>
      </c>
      <c r="H56" s="6">
        <v>0.814</v>
      </c>
      <c r="I56" s="6">
        <v>0.004</v>
      </c>
      <c r="J56" s="6">
        <v>5</v>
      </c>
    </row>
    <row r="57" spans="1:10">
      <c r="A57" s="5"/>
      <c r="B57" s="6">
        <v>2500</v>
      </c>
      <c r="C57" s="6">
        <v>0.808</v>
      </c>
      <c r="D57" s="6">
        <v>0.963</v>
      </c>
      <c r="E57" s="6">
        <v>0.9</v>
      </c>
      <c r="F57" s="6">
        <v>0.753</v>
      </c>
      <c r="G57" s="6">
        <v>0.877</v>
      </c>
      <c r="H57" s="6">
        <v>0.798</v>
      </c>
      <c r="I57" s="6">
        <v>0.004</v>
      </c>
      <c r="J57" s="6">
        <v>5</v>
      </c>
    </row>
    <row r="58" spans="1:10">
      <c r="A58" s="5" t="s">
        <v>11</v>
      </c>
      <c r="B58" s="6"/>
      <c r="C58" s="6" t="s">
        <v>3</v>
      </c>
      <c r="D58" s="6"/>
      <c r="E58" s="6"/>
      <c r="F58" s="6" t="s">
        <v>4</v>
      </c>
      <c r="G58" s="6"/>
      <c r="H58" s="6"/>
      <c r="I58" s="6"/>
      <c r="J58" s="6"/>
    </row>
    <row r="59" spans="1:10">
      <c r="A59" s="5"/>
      <c r="B59" s="6" t="s">
        <v>10</v>
      </c>
      <c r="C59" s="6">
        <v>0.835</v>
      </c>
      <c r="D59" s="6">
        <v>0.967</v>
      </c>
      <c r="E59" s="6">
        <v>0.904</v>
      </c>
      <c r="F59" s="6">
        <v>0.745</v>
      </c>
      <c r="G59" s="6">
        <v>0.825</v>
      </c>
      <c r="H59" s="6">
        <v>0.8</v>
      </c>
      <c r="I59" s="6">
        <v>0.004</v>
      </c>
      <c r="J59" s="6">
        <v>5</v>
      </c>
    </row>
    <row r="60" spans="1:10">
      <c r="A60" s="5"/>
      <c r="B60" s="6">
        <v>20</v>
      </c>
      <c r="C60" s="6">
        <v>0.87</v>
      </c>
      <c r="D60" s="6">
        <v>0.936</v>
      </c>
      <c r="E60" s="6">
        <v>0.923</v>
      </c>
      <c r="F60" s="6">
        <v>0.76</v>
      </c>
      <c r="G60" s="6">
        <v>0.824</v>
      </c>
      <c r="H60" s="6">
        <v>0.78</v>
      </c>
      <c r="I60" s="6">
        <v>0.004</v>
      </c>
      <c r="J60" s="6">
        <v>5</v>
      </c>
    </row>
    <row r="61" spans="1:10">
      <c r="A61" s="5"/>
      <c r="B61" s="6">
        <v>100</v>
      </c>
      <c r="C61" s="6">
        <v>0.905</v>
      </c>
      <c r="D61" s="6">
        <v>0.982</v>
      </c>
      <c r="E61" s="6">
        <v>0.954</v>
      </c>
      <c r="F61" s="6">
        <v>0.747</v>
      </c>
      <c r="G61" s="6">
        <v>0.818</v>
      </c>
      <c r="H61" s="6">
        <v>0.84</v>
      </c>
      <c r="I61" s="6">
        <v>0.003</v>
      </c>
      <c r="J61" s="6">
        <v>6</v>
      </c>
    </row>
    <row r="62" spans="1:10">
      <c r="A62" s="5"/>
      <c r="B62" s="6">
        <v>500</v>
      </c>
      <c r="C62" s="6">
        <v>0.981</v>
      </c>
      <c r="D62" s="6">
        <v>1.009</v>
      </c>
      <c r="E62" s="6">
        <v>1.037</v>
      </c>
      <c r="F62" s="6">
        <v>0.808</v>
      </c>
      <c r="G62" s="6">
        <v>0.872</v>
      </c>
      <c r="H62" s="6">
        <v>0.903</v>
      </c>
      <c r="I62" s="6">
        <v>0.004</v>
      </c>
      <c r="J62" s="6">
        <v>5</v>
      </c>
    </row>
    <row r="63" spans="1:10">
      <c r="A63" s="5"/>
      <c r="B63" s="6">
        <v>2500</v>
      </c>
      <c r="C63" s="6">
        <v>0.864</v>
      </c>
      <c r="D63" s="6">
        <v>1.053</v>
      </c>
      <c r="E63" s="6">
        <v>0.937</v>
      </c>
      <c r="F63" s="6">
        <v>0.693</v>
      </c>
      <c r="G63" s="6">
        <v>0.815</v>
      </c>
      <c r="H63" s="6">
        <v>0.784</v>
      </c>
      <c r="I63" s="6">
        <v>0.005</v>
      </c>
      <c r="J63" s="6">
        <v>4</v>
      </c>
    </row>
    <row r="65" ht="14.25" spans="1:10">
      <c r="A65" s="2" t="s">
        <v>19</v>
      </c>
      <c r="B65" s="3"/>
      <c r="C65" s="3"/>
      <c r="D65" s="3"/>
      <c r="E65" s="3"/>
      <c r="F65" s="3"/>
      <c r="G65" s="3"/>
      <c r="H65" s="3"/>
      <c r="I65" s="3"/>
      <c r="J65" s="3"/>
    </row>
    <row r="66" spans="1:14">
      <c r="A66" s="9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5"/>
      <c r="L66" s="15"/>
      <c r="M66" s="15"/>
      <c r="N66" s="15"/>
    </row>
    <row r="67" spans="1:14">
      <c r="A67" s="5" t="s">
        <v>21</v>
      </c>
      <c r="B67" s="5">
        <v>0.0075</v>
      </c>
      <c r="C67" s="5">
        <v>0.05</v>
      </c>
      <c r="D67" s="5">
        <v>0.025</v>
      </c>
      <c r="E67" s="5">
        <v>0.0125</v>
      </c>
      <c r="F67" s="5">
        <v>0.00625</v>
      </c>
      <c r="G67" s="5">
        <v>0.003125</v>
      </c>
      <c r="H67" s="5">
        <v>0.00156</v>
      </c>
      <c r="I67" s="5">
        <v>0.00078</v>
      </c>
      <c r="J67" s="5" t="s">
        <v>7</v>
      </c>
      <c r="M67" s="16"/>
      <c r="N67" s="16"/>
    </row>
    <row r="68" spans="1:14">
      <c r="A68" s="5" t="s">
        <v>22</v>
      </c>
      <c r="B68" s="5">
        <v>0.54</v>
      </c>
      <c r="C68" s="5">
        <v>0.104</v>
      </c>
      <c r="D68" s="5">
        <v>0.088</v>
      </c>
      <c r="E68" s="5">
        <v>0.085</v>
      </c>
      <c r="F68" s="5">
        <v>0.083</v>
      </c>
      <c r="G68" s="5">
        <v>0.079</v>
      </c>
      <c r="H68" s="5">
        <v>0.08</v>
      </c>
      <c r="I68" s="5">
        <v>0.079</v>
      </c>
      <c r="J68" s="5">
        <v>0.038</v>
      </c>
      <c r="M68" s="16"/>
      <c r="N68" s="16"/>
    </row>
    <row r="69" spans="1:14">
      <c r="A69" s="5" t="s">
        <v>23</v>
      </c>
      <c r="B69" s="5">
        <v>0.543</v>
      </c>
      <c r="C69" s="5">
        <v>0.103</v>
      </c>
      <c r="D69" s="5">
        <v>0.097</v>
      </c>
      <c r="E69" s="5">
        <v>0.089</v>
      </c>
      <c r="F69" s="5">
        <v>0.083</v>
      </c>
      <c r="G69" s="5">
        <v>0.081</v>
      </c>
      <c r="H69" s="5">
        <v>0.081</v>
      </c>
      <c r="I69" s="5">
        <v>0.079</v>
      </c>
      <c r="J69" s="5">
        <v>0.038</v>
      </c>
      <c r="M69" s="16"/>
      <c r="N69" s="16"/>
    </row>
    <row r="70" spans="1:14">
      <c r="A70" s="5" t="s">
        <v>24</v>
      </c>
      <c r="B70" s="5">
        <v>0.535</v>
      </c>
      <c r="C70" s="5">
        <v>0.102</v>
      </c>
      <c r="D70" s="5">
        <v>0.092</v>
      </c>
      <c r="E70" s="5">
        <v>0.083</v>
      </c>
      <c r="F70" s="5">
        <v>0.084</v>
      </c>
      <c r="G70" s="5">
        <v>0.082</v>
      </c>
      <c r="H70" s="5">
        <v>0.079</v>
      </c>
      <c r="I70" s="5">
        <v>0.077</v>
      </c>
      <c r="J70" s="5">
        <v>0.038</v>
      </c>
      <c r="M70" s="16"/>
      <c r="N70" s="16"/>
    </row>
    <row r="71" spans="1:14">
      <c r="A71" s="5" t="s">
        <v>7</v>
      </c>
      <c r="B71" s="5">
        <v>0.103</v>
      </c>
      <c r="C71" s="5">
        <v>0.108</v>
      </c>
      <c r="D71" s="5">
        <v>0.094</v>
      </c>
      <c r="E71" s="5"/>
      <c r="F71" s="5"/>
      <c r="G71" s="5"/>
      <c r="H71" s="5"/>
      <c r="I71" s="5"/>
      <c r="J71" s="5"/>
      <c r="M71" s="16"/>
      <c r="N71" s="16"/>
    </row>
    <row r="72" spans="1:7">
      <c r="A72" s="5"/>
      <c r="B72" s="5"/>
      <c r="C72" s="5"/>
      <c r="D72" s="5"/>
      <c r="E72" s="5"/>
      <c r="F72" s="5" t="s">
        <v>5</v>
      </c>
      <c r="G72" s="5" t="s">
        <v>6</v>
      </c>
    </row>
    <row r="73" spans="1:7">
      <c r="A73" s="5" t="s">
        <v>2</v>
      </c>
      <c r="B73" s="6" t="s">
        <v>10</v>
      </c>
      <c r="C73" s="6">
        <v>0.183</v>
      </c>
      <c r="D73" s="6">
        <v>0.195</v>
      </c>
      <c r="E73" s="6">
        <v>0.196</v>
      </c>
      <c r="F73" s="6">
        <v>0.006</v>
      </c>
      <c r="G73" s="6">
        <v>3</v>
      </c>
    </row>
    <row r="74" spans="1:7">
      <c r="A74" s="5"/>
      <c r="B74" s="6">
        <v>20</v>
      </c>
      <c r="C74" s="6">
        <v>0.294</v>
      </c>
      <c r="D74" s="6">
        <v>0.335</v>
      </c>
      <c r="E74" s="6">
        <v>0.308</v>
      </c>
      <c r="F74" s="6">
        <v>0.004</v>
      </c>
      <c r="G74" s="6">
        <v>5</v>
      </c>
    </row>
    <row r="75" spans="1:7">
      <c r="A75" s="5"/>
      <c r="B75" s="6">
        <v>100</v>
      </c>
      <c r="C75" s="6">
        <v>0.473</v>
      </c>
      <c r="D75" s="6">
        <v>0.465</v>
      </c>
      <c r="E75" s="6">
        <v>0.485</v>
      </c>
      <c r="F75" s="6">
        <v>0.002</v>
      </c>
      <c r="G75" s="6">
        <v>10</v>
      </c>
    </row>
    <row r="76" spans="1:7">
      <c r="A76" s="5"/>
      <c r="B76" s="6">
        <v>500</v>
      </c>
      <c r="C76" s="6">
        <v>0.386</v>
      </c>
      <c r="D76" s="6">
        <v>0.398</v>
      </c>
      <c r="E76" s="6">
        <v>0.434</v>
      </c>
      <c r="F76" s="6">
        <v>0.004</v>
      </c>
      <c r="G76" s="6">
        <v>5</v>
      </c>
    </row>
    <row r="77" spans="1:7">
      <c r="A77" s="5"/>
      <c r="B77" s="6">
        <v>2500</v>
      </c>
      <c r="C77" s="6">
        <v>0.364</v>
      </c>
      <c r="D77" s="6">
        <v>0.361</v>
      </c>
      <c r="E77" s="6">
        <v>0.37</v>
      </c>
      <c r="F77" s="6">
        <v>0.004</v>
      </c>
      <c r="G77" s="6">
        <v>5</v>
      </c>
    </row>
    <row r="78" spans="1:7">
      <c r="A78" s="5" t="s">
        <v>11</v>
      </c>
      <c r="B78" s="6" t="s">
        <v>10</v>
      </c>
      <c r="C78" s="6">
        <v>0.175</v>
      </c>
      <c r="D78" s="6">
        <v>0.19</v>
      </c>
      <c r="E78" s="6">
        <v>0.18</v>
      </c>
      <c r="F78" s="6">
        <v>0.004</v>
      </c>
      <c r="G78" s="6">
        <v>5</v>
      </c>
    </row>
    <row r="79" spans="1:7">
      <c r="A79" s="5"/>
      <c r="B79" s="6">
        <v>20</v>
      </c>
      <c r="C79" s="6">
        <v>0.194</v>
      </c>
      <c r="D79" s="6">
        <v>0.244</v>
      </c>
      <c r="E79" s="6">
        <v>0.227</v>
      </c>
      <c r="F79" s="6">
        <v>0.004</v>
      </c>
      <c r="G79" s="6">
        <v>5</v>
      </c>
    </row>
    <row r="80" spans="1:7">
      <c r="A80" s="5"/>
      <c r="B80" s="6">
        <v>100</v>
      </c>
      <c r="C80" s="6">
        <v>0.171</v>
      </c>
      <c r="D80" s="6">
        <v>0.186</v>
      </c>
      <c r="E80" s="6">
        <v>0.174</v>
      </c>
      <c r="F80" s="6">
        <v>0.003</v>
      </c>
      <c r="G80" s="6">
        <v>6</v>
      </c>
    </row>
    <row r="81" spans="1:7">
      <c r="A81" s="5"/>
      <c r="B81" s="6">
        <v>500</v>
      </c>
      <c r="C81" s="6">
        <v>0.208</v>
      </c>
      <c r="D81" s="6">
        <v>0.219</v>
      </c>
      <c r="E81" s="6">
        <v>0.224</v>
      </c>
      <c r="F81" s="6">
        <v>0.004</v>
      </c>
      <c r="G81" s="6">
        <v>5</v>
      </c>
    </row>
    <row r="82" spans="1:7">
      <c r="A82" s="5"/>
      <c r="B82" s="6">
        <v>2500</v>
      </c>
      <c r="C82" s="6">
        <v>0.255</v>
      </c>
      <c r="D82" s="6">
        <v>0.253</v>
      </c>
      <c r="E82" s="6">
        <v>0.262</v>
      </c>
      <c r="F82" s="6">
        <v>0.005</v>
      </c>
      <c r="G82" s="6">
        <v>4</v>
      </c>
    </row>
    <row r="84" ht="14.25" spans="1:7">
      <c r="A84" s="11" t="s">
        <v>25</v>
      </c>
      <c r="B84" s="12"/>
      <c r="C84" s="12"/>
      <c r="D84" s="12"/>
      <c r="E84" s="12"/>
      <c r="F84" s="12"/>
      <c r="G84" s="12"/>
    </row>
    <row r="85" spans="1:7">
      <c r="A85" s="5"/>
      <c r="B85" s="5"/>
      <c r="C85" s="5"/>
      <c r="D85" s="5"/>
      <c r="E85" s="5"/>
      <c r="F85" s="5" t="s">
        <v>5</v>
      </c>
      <c r="G85" s="5" t="s">
        <v>6</v>
      </c>
    </row>
    <row r="86" spans="1:7">
      <c r="A86" s="5" t="s">
        <v>2</v>
      </c>
      <c r="B86" s="6" t="s">
        <v>10</v>
      </c>
      <c r="C86" s="6">
        <v>0.434</v>
      </c>
      <c r="D86" s="6">
        <v>0.408</v>
      </c>
      <c r="E86" s="6">
        <v>0.47</v>
      </c>
      <c r="F86" s="6">
        <v>0.006</v>
      </c>
      <c r="G86" s="6">
        <v>3</v>
      </c>
    </row>
    <row r="87" spans="1:7">
      <c r="A87" s="5"/>
      <c r="B87" s="6">
        <v>20</v>
      </c>
      <c r="C87" s="6">
        <v>0.783</v>
      </c>
      <c r="D87" s="6">
        <v>0.79</v>
      </c>
      <c r="E87" s="6">
        <v>0.75</v>
      </c>
      <c r="F87" s="6">
        <v>0.004</v>
      </c>
      <c r="G87" s="6">
        <v>5</v>
      </c>
    </row>
    <row r="88" spans="1:7">
      <c r="A88" s="5"/>
      <c r="B88" s="6">
        <v>100</v>
      </c>
      <c r="C88" s="6">
        <v>0.42</v>
      </c>
      <c r="D88" s="6">
        <v>0.45</v>
      </c>
      <c r="E88" s="6">
        <v>0.461</v>
      </c>
      <c r="F88" s="6">
        <v>0.002</v>
      </c>
      <c r="G88" s="6">
        <v>10</v>
      </c>
    </row>
    <row r="89" spans="1:7">
      <c r="A89" s="5"/>
      <c r="B89" s="6">
        <v>500</v>
      </c>
      <c r="C89" s="6">
        <v>0.454</v>
      </c>
      <c r="D89" s="6">
        <v>0.427</v>
      </c>
      <c r="E89" s="6">
        <v>0.439</v>
      </c>
      <c r="F89" s="6">
        <v>0.004</v>
      </c>
      <c r="G89" s="6">
        <v>5</v>
      </c>
    </row>
    <row r="90" spans="1:7">
      <c r="A90" s="5"/>
      <c r="B90" s="6">
        <v>2500</v>
      </c>
      <c r="C90" s="6">
        <v>0.41</v>
      </c>
      <c r="D90" s="6">
        <v>0.434</v>
      </c>
      <c r="E90" s="6">
        <v>0.476</v>
      </c>
      <c r="F90" s="6">
        <v>0.004</v>
      </c>
      <c r="G90" s="6">
        <v>5</v>
      </c>
    </row>
    <row r="91" spans="1:7">
      <c r="A91" s="5" t="s">
        <v>11</v>
      </c>
      <c r="B91" s="6" t="s">
        <v>10</v>
      </c>
      <c r="C91" s="6">
        <v>0.357</v>
      </c>
      <c r="D91" s="6">
        <v>0.385</v>
      </c>
      <c r="E91" s="6">
        <v>0.371</v>
      </c>
      <c r="F91" s="6">
        <v>0.004</v>
      </c>
      <c r="G91" s="6">
        <v>5</v>
      </c>
    </row>
    <row r="92" spans="1:7">
      <c r="A92" s="5"/>
      <c r="B92" s="6">
        <v>20</v>
      </c>
      <c r="C92" s="6">
        <v>0.253</v>
      </c>
      <c r="D92" s="6">
        <v>0.24</v>
      </c>
      <c r="E92" s="6">
        <v>0.2</v>
      </c>
      <c r="F92" s="6">
        <v>0.004</v>
      </c>
      <c r="G92" s="6">
        <v>5</v>
      </c>
    </row>
    <row r="93" spans="1:7">
      <c r="A93" s="5"/>
      <c r="B93" s="6">
        <v>100</v>
      </c>
      <c r="C93" s="6">
        <v>0.25</v>
      </c>
      <c r="D93" s="6">
        <v>0.281</v>
      </c>
      <c r="E93" s="6">
        <v>0.274</v>
      </c>
      <c r="F93" s="6">
        <v>0.003</v>
      </c>
      <c r="G93" s="6">
        <v>6</v>
      </c>
    </row>
    <row r="94" spans="1:7">
      <c r="A94" s="5"/>
      <c r="B94" s="6">
        <v>500</v>
      </c>
      <c r="C94" s="6">
        <v>0.46</v>
      </c>
      <c r="D94" s="6">
        <v>0.502</v>
      </c>
      <c r="E94" s="6">
        <v>0.496</v>
      </c>
      <c r="F94" s="6">
        <v>0.004</v>
      </c>
      <c r="G94" s="6">
        <v>5</v>
      </c>
    </row>
    <row r="95" spans="1:7">
      <c r="A95" s="5"/>
      <c r="B95" s="6">
        <v>2500</v>
      </c>
      <c r="C95" s="6">
        <v>0.532</v>
      </c>
      <c r="D95" s="6">
        <v>0.54</v>
      </c>
      <c r="E95" s="6">
        <v>0.584</v>
      </c>
      <c r="F95" s="6">
        <v>0.005</v>
      </c>
      <c r="G95" s="6">
        <v>4</v>
      </c>
    </row>
    <row r="96" spans="1:7">
      <c r="A96" s="5"/>
      <c r="B96" s="5" t="s">
        <v>26</v>
      </c>
      <c r="C96" s="6">
        <v>0.103</v>
      </c>
      <c r="D96" s="6">
        <v>0.097</v>
      </c>
      <c r="E96" s="6">
        <v>0.099</v>
      </c>
      <c r="F96" s="5"/>
      <c r="G96" s="5"/>
    </row>
    <row r="97" spans="1:7">
      <c r="A97" s="5"/>
      <c r="B97" s="5" t="s">
        <v>27</v>
      </c>
      <c r="C97" s="6">
        <v>0.382</v>
      </c>
      <c r="D97" s="6">
        <v>0.338</v>
      </c>
      <c r="E97" s="6">
        <v>0.357</v>
      </c>
      <c r="F97" s="5"/>
      <c r="G97" s="5"/>
    </row>
    <row r="99" ht="14.25" spans="1:10">
      <c r="A99" s="11" t="s">
        <v>28</v>
      </c>
      <c r="B99" s="12"/>
      <c r="C99" s="12"/>
      <c r="D99" s="12"/>
      <c r="E99" s="12"/>
      <c r="F99" s="12"/>
      <c r="G99" s="12"/>
      <c r="H99" s="12"/>
      <c r="I99" s="12"/>
      <c r="J99" s="12"/>
    </row>
    <row r="100" spans="1:8">
      <c r="A100" s="5"/>
      <c r="B100" s="6" t="s">
        <v>7</v>
      </c>
      <c r="C100" s="6">
        <v>0.051</v>
      </c>
      <c r="D100" s="6">
        <v>0.051</v>
      </c>
      <c r="E100" s="6">
        <v>0.052</v>
      </c>
      <c r="F100" s="6">
        <v>0.049</v>
      </c>
      <c r="G100" s="6">
        <v>0.049</v>
      </c>
      <c r="H100" s="6">
        <v>0.049</v>
      </c>
    </row>
    <row r="101" spans="1:10">
      <c r="A101" s="5"/>
      <c r="B101" s="6"/>
      <c r="C101" s="6" t="s">
        <v>29</v>
      </c>
      <c r="D101" s="6"/>
      <c r="E101" s="6"/>
      <c r="F101" s="6" t="s">
        <v>30</v>
      </c>
      <c r="G101" s="6"/>
      <c r="H101" s="6"/>
      <c r="I101" s="5" t="s">
        <v>5</v>
      </c>
      <c r="J101" s="5" t="s">
        <v>6</v>
      </c>
    </row>
    <row r="102" spans="1:10">
      <c r="A102" s="5" t="s">
        <v>2</v>
      </c>
      <c r="B102" s="6" t="s">
        <v>10</v>
      </c>
      <c r="C102" s="6">
        <v>0.057</v>
      </c>
      <c r="D102" s="6">
        <v>0.059</v>
      </c>
      <c r="E102" s="6">
        <v>0.058</v>
      </c>
      <c r="F102" s="6">
        <v>0.052</v>
      </c>
      <c r="G102" s="6">
        <v>0.054</v>
      </c>
      <c r="H102" s="6">
        <v>0.051</v>
      </c>
      <c r="I102" s="6">
        <v>0.006</v>
      </c>
      <c r="J102" s="6">
        <v>3</v>
      </c>
    </row>
    <row r="103" spans="1:10">
      <c r="A103" s="5"/>
      <c r="B103" s="6">
        <v>20</v>
      </c>
      <c r="C103" s="6">
        <v>0.063</v>
      </c>
      <c r="D103" s="6">
        <v>0.068</v>
      </c>
      <c r="E103" s="6">
        <v>0.063</v>
      </c>
      <c r="F103" s="6">
        <v>0.054</v>
      </c>
      <c r="G103" s="6">
        <v>0.059</v>
      </c>
      <c r="H103" s="6">
        <v>0.055</v>
      </c>
      <c r="I103" s="6">
        <v>0.004</v>
      </c>
      <c r="J103" s="6">
        <v>5</v>
      </c>
    </row>
    <row r="104" spans="1:10">
      <c r="A104" s="5"/>
      <c r="B104" s="6">
        <v>100</v>
      </c>
      <c r="C104" s="6">
        <v>0.065</v>
      </c>
      <c r="D104" s="6">
        <v>0.067</v>
      </c>
      <c r="E104" s="6">
        <v>0.069</v>
      </c>
      <c r="F104" s="6">
        <v>0.06</v>
      </c>
      <c r="G104" s="6">
        <v>0.061</v>
      </c>
      <c r="H104" s="6">
        <v>0.063</v>
      </c>
      <c r="I104" s="6">
        <v>0.002</v>
      </c>
      <c r="J104" s="6">
        <v>10</v>
      </c>
    </row>
    <row r="105" spans="1:10">
      <c r="A105" s="5"/>
      <c r="B105" s="6">
        <v>500</v>
      </c>
      <c r="C105" s="6">
        <v>0.065</v>
      </c>
      <c r="D105" s="6">
        <v>0.061</v>
      </c>
      <c r="E105" s="6">
        <v>0.081</v>
      </c>
      <c r="F105" s="6">
        <v>0.054</v>
      </c>
      <c r="G105" s="6">
        <v>0.05</v>
      </c>
      <c r="H105" s="6">
        <v>0.069</v>
      </c>
      <c r="I105" s="6">
        <v>0.004</v>
      </c>
      <c r="J105" s="6">
        <v>5</v>
      </c>
    </row>
    <row r="106" spans="1:10">
      <c r="A106" s="5"/>
      <c r="B106" s="6">
        <v>2500</v>
      </c>
      <c r="C106" s="7">
        <v>0.069</v>
      </c>
      <c r="D106" s="6">
        <v>0.072</v>
      </c>
      <c r="E106" s="6">
        <v>0.069</v>
      </c>
      <c r="F106" s="6">
        <v>0.053</v>
      </c>
      <c r="G106" s="6">
        <v>0.052</v>
      </c>
      <c r="H106" s="6">
        <v>0.052</v>
      </c>
      <c r="I106" s="6">
        <v>0.004</v>
      </c>
      <c r="J106" s="6">
        <v>5</v>
      </c>
    </row>
    <row r="107" spans="1:10">
      <c r="A107" s="5" t="s">
        <v>11</v>
      </c>
      <c r="B107" s="6" t="s">
        <v>10</v>
      </c>
      <c r="C107" s="6">
        <v>0.064</v>
      </c>
      <c r="D107" s="6">
        <v>0.062</v>
      </c>
      <c r="E107" s="6">
        <v>0.064</v>
      </c>
      <c r="F107" s="6">
        <v>0.051</v>
      </c>
      <c r="G107" s="6">
        <v>0.053</v>
      </c>
      <c r="H107" s="6">
        <v>0.055</v>
      </c>
      <c r="I107" s="6">
        <v>0.004</v>
      </c>
      <c r="J107" s="6">
        <v>5</v>
      </c>
    </row>
    <row r="108" spans="1:10">
      <c r="A108" s="5"/>
      <c r="B108" s="6">
        <v>20</v>
      </c>
      <c r="C108" s="6">
        <v>0.065</v>
      </c>
      <c r="D108" s="6">
        <v>0.066</v>
      </c>
      <c r="E108" s="6">
        <v>0.069</v>
      </c>
      <c r="F108" s="6">
        <v>0.053</v>
      </c>
      <c r="G108" s="6">
        <v>0.056</v>
      </c>
      <c r="H108" s="6">
        <v>0.055</v>
      </c>
      <c r="I108" s="6">
        <v>0.004</v>
      </c>
      <c r="J108" s="6">
        <v>5</v>
      </c>
    </row>
    <row r="109" spans="1:10">
      <c r="A109" s="5"/>
      <c r="B109" s="6">
        <v>100</v>
      </c>
      <c r="C109" s="6">
        <v>0.085</v>
      </c>
      <c r="D109" s="6">
        <v>0.074</v>
      </c>
      <c r="E109" s="6">
        <v>0.083</v>
      </c>
      <c r="F109" s="6">
        <v>0.068</v>
      </c>
      <c r="G109" s="6">
        <v>0.056</v>
      </c>
      <c r="H109" s="6">
        <v>0.065</v>
      </c>
      <c r="I109" s="6">
        <v>0.003</v>
      </c>
      <c r="J109" s="6">
        <v>6</v>
      </c>
    </row>
    <row r="110" spans="1:10">
      <c r="A110" s="5"/>
      <c r="B110" s="6">
        <v>500</v>
      </c>
      <c r="C110" s="6">
        <v>0.074</v>
      </c>
      <c r="D110" s="6">
        <v>0.076</v>
      </c>
      <c r="E110" s="6">
        <v>0.079</v>
      </c>
      <c r="F110" s="6">
        <v>0.051</v>
      </c>
      <c r="G110" s="6">
        <v>0.059</v>
      </c>
      <c r="H110" s="6">
        <v>0.056</v>
      </c>
      <c r="I110" s="6">
        <v>0.004</v>
      </c>
      <c r="J110" s="6">
        <v>5</v>
      </c>
    </row>
    <row r="111" spans="1:10">
      <c r="A111" s="5"/>
      <c r="B111" s="6">
        <v>2500</v>
      </c>
      <c r="C111" s="6">
        <v>0.076</v>
      </c>
      <c r="D111" s="6">
        <v>0.084</v>
      </c>
      <c r="E111" s="6">
        <v>0.073</v>
      </c>
      <c r="F111" s="6">
        <v>0.052</v>
      </c>
      <c r="G111" s="6">
        <v>0.059</v>
      </c>
      <c r="H111" s="6">
        <v>0.053</v>
      </c>
      <c r="I111" s="6">
        <v>0.005</v>
      </c>
      <c r="J111" s="6">
        <v>4</v>
      </c>
    </row>
    <row r="113" ht="14.25" spans="1:11">
      <c r="A113" s="2" t="s">
        <v>31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5"/>
      <c r="B114" s="5" t="s">
        <v>32</v>
      </c>
      <c r="C114" s="5" t="s">
        <v>33</v>
      </c>
      <c r="D114" s="5"/>
      <c r="E114" s="5"/>
      <c r="F114" s="5" t="s">
        <v>34</v>
      </c>
      <c r="G114" s="5"/>
      <c r="H114" s="5"/>
      <c r="I114" s="17" t="s">
        <v>35</v>
      </c>
      <c r="J114" s="17"/>
      <c r="K114" s="17"/>
    </row>
    <row r="115" spans="1:11">
      <c r="A115" s="5">
        <v>0</v>
      </c>
      <c r="B115" s="5" t="s">
        <v>36</v>
      </c>
      <c r="C115" s="6">
        <v>20.42</v>
      </c>
      <c r="D115" s="6">
        <v>20.1</v>
      </c>
      <c r="E115" s="6">
        <v>19.97</v>
      </c>
      <c r="F115" s="6">
        <v>17.73</v>
      </c>
      <c r="G115" s="5">
        <v>17.56</v>
      </c>
      <c r="H115" s="13">
        <v>17.9</v>
      </c>
      <c r="I115" s="6">
        <v>27.92</v>
      </c>
      <c r="J115" s="6">
        <v>27.99</v>
      </c>
      <c r="K115" s="6">
        <v>28.07</v>
      </c>
    </row>
    <row r="116" spans="1:11">
      <c r="A116" s="5"/>
      <c r="B116" s="5" t="s">
        <v>37</v>
      </c>
      <c r="C116" s="6">
        <v>19.57</v>
      </c>
      <c r="D116" s="6">
        <v>19.95</v>
      </c>
      <c r="E116" s="6">
        <v>20.04</v>
      </c>
      <c r="F116" s="6">
        <v>17.88</v>
      </c>
      <c r="G116" s="5">
        <v>17.89</v>
      </c>
      <c r="H116" s="5">
        <v>17.92</v>
      </c>
      <c r="I116" s="6">
        <v>28.28</v>
      </c>
      <c r="J116" s="5">
        <v>28.02</v>
      </c>
      <c r="K116" s="5">
        <v>27.86</v>
      </c>
    </row>
    <row r="117" spans="1:11">
      <c r="A117" s="5"/>
      <c r="B117" s="5" t="s">
        <v>38</v>
      </c>
      <c r="C117" s="6">
        <v>19.87</v>
      </c>
      <c r="D117" s="6">
        <v>20.08</v>
      </c>
      <c r="E117" s="6">
        <v>19.94</v>
      </c>
      <c r="F117" s="6">
        <v>18.07</v>
      </c>
      <c r="G117" s="5">
        <v>17.92</v>
      </c>
      <c r="H117" s="5">
        <v>17.77</v>
      </c>
      <c r="I117" s="6">
        <v>27.71</v>
      </c>
      <c r="J117" s="6">
        <v>27.98</v>
      </c>
      <c r="K117" s="6">
        <v>28.34</v>
      </c>
    </row>
    <row r="118" spans="1:11">
      <c r="A118" s="5">
        <v>20</v>
      </c>
      <c r="B118" s="5" t="s">
        <v>36</v>
      </c>
      <c r="C118" s="6">
        <v>20.64</v>
      </c>
      <c r="D118" s="6">
        <v>20.47</v>
      </c>
      <c r="E118" s="6">
        <v>20.19</v>
      </c>
      <c r="F118" s="6">
        <v>17.55</v>
      </c>
      <c r="G118" s="6">
        <v>17.75</v>
      </c>
      <c r="H118" s="6">
        <v>17.48</v>
      </c>
      <c r="I118" s="6">
        <v>28.75</v>
      </c>
      <c r="J118" s="6">
        <v>28.67</v>
      </c>
      <c r="K118" s="6">
        <v>28.49</v>
      </c>
    </row>
    <row r="119" spans="1:11">
      <c r="A119" s="5"/>
      <c r="B119" s="5" t="s">
        <v>37</v>
      </c>
      <c r="C119" s="6">
        <v>20.02</v>
      </c>
      <c r="D119" s="6">
        <v>20.08</v>
      </c>
      <c r="E119" s="6">
        <v>20.31</v>
      </c>
      <c r="F119" s="6">
        <v>17.65</v>
      </c>
      <c r="G119" s="6">
        <v>17.59</v>
      </c>
      <c r="H119" s="6">
        <v>17.46</v>
      </c>
      <c r="I119" s="6">
        <v>27.78</v>
      </c>
      <c r="J119" s="5">
        <v>28.41</v>
      </c>
      <c r="K119" s="5">
        <v>28.64</v>
      </c>
    </row>
    <row r="120" spans="1:11">
      <c r="A120" s="5"/>
      <c r="B120" s="5" t="s">
        <v>38</v>
      </c>
      <c r="C120" s="6">
        <v>20.76</v>
      </c>
      <c r="D120" s="6">
        <v>20.47</v>
      </c>
      <c r="E120" s="6">
        <v>20.34</v>
      </c>
      <c r="F120" s="6">
        <v>17.43</v>
      </c>
      <c r="G120" s="6">
        <v>17.68</v>
      </c>
      <c r="H120" s="6">
        <v>17.55</v>
      </c>
      <c r="I120" s="6">
        <v>27.78</v>
      </c>
      <c r="J120" s="5">
        <v>28.41</v>
      </c>
      <c r="K120" s="5">
        <v>28.64</v>
      </c>
    </row>
    <row r="121" spans="1:11">
      <c r="A121" s="5">
        <v>100</v>
      </c>
      <c r="B121" s="5" t="s">
        <v>36</v>
      </c>
      <c r="C121" s="6">
        <v>20.09</v>
      </c>
      <c r="D121" s="6">
        <v>20.01</v>
      </c>
      <c r="E121" s="6">
        <v>20.18</v>
      </c>
      <c r="F121" s="6">
        <v>17.21</v>
      </c>
      <c r="G121" s="6">
        <v>17.99</v>
      </c>
      <c r="H121" s="6">
        <v>17.07</v>
      </c>
      <c r="I121" s="6">
        <v>28.62</v>
      </c>
      <c r="J121" s="5">
        <v>28.59</v>
      </c>
      <c r="K121" s="5">
        <v>28.67</v>
      </c>
    </row>
    <row r="122" spans="1:11">
      <c r="A122" s="5"/>
      <c r="B122" s="5" t="s">
        <v>37</v>
      </c>
      <c r="C122" s="6">
        <v>20.01</v>
      </c>
      <c r="D122" s="6">
        <v>20.15</v>
      </c>
      <c r="E122" s="6">
        <v>19.99</v>
      </c>
      <c r="F122" s="6">
        <v>17.24</v>
      </c>
      <c r="G122" s="6">
        <v>17.04</v>
      </c>
      <c r="H122" s="6">
        <v>17.92</v>
      </c>
      <c r="I122" s="6">
        <v>28.23</v>
      </c>
      <c r="J122" s="5">
        <v>28.45</v>
      </c>
      <c r="K122" s="5">
        <v>28.71</v>
      </c>
    </row>
    <row r="123" spans="1:11">
      <c r="A123" s="5"/>
      <c r="B123" s="5" t="s">
        <v>38</v>
      </c>
      <c r="C123" s="6">
        <v>19.96</v>
      </c>
      <c r="D123" s="6">
        <v>20.47</v>
      </c>
      <c r="E123" s="6">
        <v>19.85</v>
      </c>
      <c r="F123" s="6">
        <v>17.45</v>
      </c>
      <c r="G123" s="6">
        <v>18.06</v>
      </c>
      <c r="H123" s="6">
        <v>17.48</v>
      </c>
      <c r="I123" s="6">
        <v>28.45</v>
      </c>
      <c r="J123" s="5">
        <v>28.67</v>
      </c>
      <c r="K123" s="5">
        <v>28.43</v>
      </c>
    </row>
    <row r="124" spans="1:11">
      <c r="A124" s="5">
        <v>500</v>
      </c>
      <c r="B124" s="5" t="s">
        <v>36</v>
      </c>
      <c r="C124" s="6">
        <v>20.47</v>
      </c>
      <c r="D124" s="6">
        <v>20.17</v>
      </c>
      <c r="E124" s="6">
        <v>20.05</v>
      </c>
      <c r="F124" s="6">
        <v>17.21</v>
      </c>
      <c r="G124" s="6">
        <v>17.95</v>
      </c>
      <c r="H124" s="6">
        <v>17.64</v>
      </c>
      <c r="I124" s="6">
        <v>30.44</v>
      </c>
      <c r="J124" s="6">
        <v>29.97</v>
      </c>
      <c r="K124" s="6">
        <v>30.05</v>
      </c>
    </row>
    <row r="125" spans="1:11">
      <c r="A125" s="5"/>
      <c r="B125" s="5" t="s">
        <v>37</v>
      </c>
      <c r="C125" s="6">
        <v>19.94</v>
      </c>
      <c r="D125" s="6">
        <v>20.13</v>
      </c>
      <c r="E125" s="14">
        <v>20.4</v>
      </c>
      <c r="F125" s="6">
        <v>17.83</v>
      </c>
      <c r="G125" s="14">
        <v>17.8</v>
      </c>
      <c r="H125" s="6">
        <v>17.66</v>
      </c>
      <c r="I125" s="6">
        <v>29.01</v>
      </c>
      <c r="J125" s="6">
        <v>29.87</v>
      </c>
      <c r="K125" s="6">
        <v>30.25</v>
      </c>
    </row>
    <row r="126" spans="1:11">
      <c r="A126" s="5"/>
      <c r="B126" s="5" t="s">
        <v>38</v>
      </c>
      <c r="C126" s="6">
        <v>20.23</v>
      </c>
      <c r="D126" s="6">
        <v>20.09</v>
      </c>
      <c r="E126" s="6">
        <v>20.46</v>
      </c>
      <c r="F126" s="6">
        <v>17.77</v>
      </c>
      <c r="G126" s="6">
        <v>17.29</v>
      </c>
      <c r="H126" s="6">
        <v>17.91</v>
      </c>
      <c r="I126" s="6">
        <v>30.36</v>
      </c>
      <c r="J126" s="6">
        <v>29.79</v>
      </c>
      <c r="K126" s="6">
        <v>30.19</v>
      </c>
    </row>
    <row r="127" spans="1:11">
      <c r="A127" s="5">
        <v>2500</v>
      </c>
      <c r="B127" s="5" t="s">
        <v>36</v>
      </c>
      <c r="C127" s="6">
        <v>20.65</v>
      </c>
      <c r="D127" s="6">
        <v>20.15</v>
      </c>
      <c r="E127" s="6">
        <v>20.43</v>
      </c>
      <c r="F127" s="6">
        <v>17.22</v>
      </c>
      <c r="G127" s="6">
        <v>18.07</v>
      </c>
      <c r="H127" s="6">
        <v>17.95</v>
      </c>
      <c r="I127" s="6">
        <v>28.81</v>
      </c>
      <c r="J127" s="6">
        <v>28.78</v>
      </c>
      <c r="K127" s="6">
        <v>28.94</v>
      </c>
    </row>
    <row r="128" spans="1:11">
      <c r="A128" s="5"/>
      <c r="B128" s="5" t="s">
        <v>37</v>
      </c>
      <c r="C128" s="6">
        <v>20.28</v>
      </c>
      <c r="D128" s="6">
        <v>20.14</v>
      </c>
      <c r="E128" s="6">
        <v>20.48</v>
      </c>
      <c r="F128" s="6">
        <v>17.36</v>
      </c>
      <c r="G128" s="6">
        <v>17.91</v>
      </c>
      <c r="H128" s="6">
        <v>17.97</v>
      </c>
      <c r="I128" s="6">
        <v>29.43</v>
      </c>
      <c r="J128" s="6">
        <v>29.06</v>
      </c>
      <c r="K128" s="6">
        <v>28.95</v>
      </c>
    </row>
    <row r="129" spans="1:11">
      <c r="A129" s="5"/>
      <c r="B129" s="5" t="s">
        <v>38</v>
      </c>
      <c r="C129" s="6">
        <v>20.39</v>
      </c>
      <c r="D129" s="6">
        <v>20.31</v>
      </c>
      <c r="E129" s="6">
        <v>20.49</v>
      </c>
      <c r="F129" s="6">
        <v>17.6</v>
      </c>
      <c r="G129" s="6">
        <v>17.85</v>
      </c>
      <c r="H129" s="6">
        <v>17.15</v>
      </c>
      <c r="I129" s="6">
        <v>29.07</v>
      </c>
      <c r="J129" s="6">
        <v>28.99</v>
      </c>
      <c r="K129" s="6">
        <v>29.13</v>
      </c>
    </row>
    <row r="130" spans="1:11">
      <c r="A130" s="5">
        <v>5000</v>
      </c>
      <c r="B130" s="5" t="s">
        <v>36</v>
      </c>
      <c r="C130" s="6">
        <v>20.55</v>
      </c>
      <c r="D130" s="6">
        <v>19.95</v>
      </c>
      <c r="E130" s="6">
        <v>19.57</v>
      </c>
      <c r="F130" s="6">
        <v>17.58</v>
      </c>
      <c r="G130" s="6">
        <v>17.85</v>
      </c>
      <c r="H130" s="6">
        <v>17.92</v>
      </c>
      <c r="I130" s="6">
        <v>28.02</v>
      </c>
      <c r="J130" s="6">
        <v>28.41</v>
      </c>
      <c r="K130" s="6">
        <v>28.37</v>
      </c>
    </row>
    <row r="131" spans="1:11">
      <c r="A131" s="5"/>
      <c r="B131" s="5" t="s">
        <v>37</v>
      </c>
      <c r="C131" s="6">
        <v>20.55</v>
      </c>
      <c r="D131" s="6">
        <v>19.95</v>
      </c>
      <c r="E131" s="6">
        <v>19.57</v>
      </c>
      <c r="F131" s="6">
        <v>17.99</v>
      </c>
      <c r="G131" s="6">
        <v>17.87</v>
      </c>
      <c r="H131" s="6">
        <v>17.93</v>
      </c>
      <c r="I131" s="6">
        <v>28.47</v>
      </c>
      <c r="J131" s="6">
        <v>28.64</v>
      </c>
      <c r="K131" s="6">
        <v>28.49</v>
      </c>
    </row>
    <row r="132" spans="1:11">
      <c r="A132" s="5"/>
      <c r="B132" s="5" t="s">
        <v>38</v>
      </c>
      <c r="C132" s="6">
        <v>20.55</v>
      </c>
      <c r="D132" s="6">
        <v>19.95</v>
      </c>
      <c r="E132" s="6">
        <v>19.57</v>
      </c>
      <c r="F132" s="6">
        <v>17.46</v>
      </c>
      <c r="G132" s="6">
        <v>17.89</v>
      </c>
      <c r="H132" s="6">
        <v>17.98</v>
      </c>
      <c r="I132" s="6">
        <v>28.14</v>
      </c>
      <c r="J132" s="6">
        <v>28.37</v>
      </c>
      <c r="K132" s="6">
        <v>28.55</v>
      </c>
    </row>
    <row r="134" ht="14.25" spans="1:10">
      <c r="A134" s="2" t="s">
        <v>39</v>
      </c>
      <c r="B134" s="3"/>
      <c r="C134" s="3"/>
      <c r="D134" s="3"/>
      <c r="E134" s="3"/>
      <c r="F134" s="3"/>
      <c r="G134" s="3"/>
      <c r="H134" s="3"/>
      <c r="I134" s="3"/>
      <c r="J134" s="3"/>
    </row>
    <row r="135" ht="14.25" spans="1:10">
      <c r="A135" s="11" t="s">
        <v>40</v>
      </c>
      <c r="B135" s="12"/>
      <c r="C135" s="12"/>
      <c r="D135" s="12"/>
      <c r="E135" s="12"/>
      <c r="F135" s="12"/>
      <c r="G135" s="12"/>
      <c r="H135" s="12"/>
      <c r="I135" s="12"/>
      <c r="J135" s="12"/>
    </row>
    <row r="136" spans="1:10">
      <c r="A136" s="5" t="s">
        <v>2</v>
      </c>
      <c r="B136" s="6"/>
      <c r="C136" s="6" t="s">
        <v>3</v>
      </c>
      <c r="D136" s="6"/>
      <c r="E136" s="6"/>
      <c r="F136" s="6" t="s">
        <v>4</v>
      </c>
      <c r="G136" s="6"/>
      <c r="H136" s="6"/>
      <c r="I136" s="5"/>
      <c r="J136" s="5"/>
    </row>
    <row r="137" spans="1:10">
      <c r="A137" s="5"/>
      <c r="B137" s="6" t="s">
        <v>7</v>
      </c>
      <c r="C137" s="6">
        <v>0.171</v>
      </c>
      <c r="D137" s="6">
        <v>0.172</v>
      </c>
      <c r="E137" s="6">
        <v>0.171</v>
      </c>
      <c r="F137" s="6">
        <v>0.178</v>
      </c>
      <c r="G137" s="6">
        <v>0.189</v>
      </c>
      <c r="H137" s="6">
        <v>0.184</v>
      </c>
      <c r="I137" s="6" t="s">
        <v>5</v>
      </c>
      <c r="J137" s="6" t="s">
        <v>6</v>
      </c>
    </row>
    <row r="138" spans="1:10">
      <c r="A138" s="5"/>
      <c r="B138" s="6"/>
      <c r="C138" s="6" t="s">
        <v>8</v>
      </c>
      <c r="D138" s="6"/>
      <c r="E138" s="6"/>
      <c r="F138" s="6" t="s">
        <v>9</v>
      </c>
      <c r="G138" s="6"/>
      <c r="H138" s="6"/>
      <c r="I138" s="5"/>
      <c r="J138" s="5"/>
    </row>
    <row r="139" spans="1:10">
      <c r="A139" s="5"/>
      <c r="B139" s="6" t="s">
        <v>10</v>
      </c>
      <c r="C139" s="6">
        <v>0.252</v>
      </c>
      <c r="D139" s="6">
        <v>0.252</v>
      </c>
      <c r="E139" s="7">
        <v>0.246</v>
      </c>
      <c r="F139" s="6">
        <v>0.379</v>
      </c>
      <c r="G139" s="6">
        <v>0.362</v>
      </c>
      <c r="H139" s="6">
        <v>0.385</v>
      </c>
      <c r="I139" s="6">
        <v>0.006</v>
      </c>
      <c r="J139" s="6">
        <v>3</v>
      </c>
    </row>
    <row r="140" spans="1:10">
      <c r="A140" s="5"/>
      <c r="B140" s="6">
        <v>20</v>
      </c>
      <c r="C140" s="6">
        <v>0.238</v>
      </c>
      <c r="D140" s="7">
        <v>0.213</v>
      </c>
      <c r="E140" s="6">
        <v>0.205</v>
      </c>
      <c r="F140" s="6">
        <v>0.331</v>
      </c>
      <c r="G140" s="7">
        <v>0.316</v>
      </c>
      <c r="H140" s="6">
        <v>0.339</v>
      </c>
      <c r="I140" s="6">
        <v>0.004</v>
      </c>
      <c r="J140" s="6">
        <v>5</v>
      </c>
    </row>
    <row r="141" spans="1:10">
      <c r="A141" s="5"/>
      <c r="B141" s="6">
        <v>100</v>
      </c>
      <c r="C141" s="6">
        <v>0.206</v>
      </c>
      <c r="D141" s="6">
        <v>0.222</v>
      </c>
      <c r="E141" s="6">
        <v>0.25</v>
      </c>
      <c r="F141" s="6">
        <v>0.329</v>
      </c>
      <c r="G141" s="6">
        <v>0.335</v>
      </c>
      <c r="H141" s="6">
        <v>0.352</v>
      </c>
      <c r="I141" s="6">
        <v>0.002</v>
      </c>
      <c r="J141" s="6">
        <v>10</v>
      </c>
    </row>
    <row r="142" spans="1:10">
      <c r="A142" s="5"/>
      <c r="B142" s="6">
        <v>500</v>
      </c>
      <c r="C142" s="6">
        <v>0.237</v>
      </c>
      <c r="D142" s="7">
        <v>0.259</v>
      </c>
      <c r="E142" s="6">
        <v>0.245</v>
      </c>
      <c r="F142" s="6">
        <v>0.36</v>
      </c>
      <c r="G142" s="7">
        <v>0.384</v>
      </c>
      <c r="H142" s="6">
        <v>0.338</v>
      </c>
      <c r="I142" s="6">
        <v>0.004</v>
      </c>
      <c r="J142" s="6">
        <v>5</v>
      </c>
    </row>
    <row r="143" spans="1:10">
      <c r="A143" s="5"/>
      <c r="B143" s="6">
        <v>2500</v>
      </c>
      <c r="C143" s="6">
        <v>0.222</v>
      </c>
      <c r="D143" s="6">
        <v>0.475</v>
      </c>
      <c r="E143" s="6">
        <v>0.237</v>
      </c>
      <c r="F143" s="6">
        <v>0.288</v>
      </c>
      <c r="G143" s="7">
        <v>0.55</v>
      </c>
      <c r="H143" s="6">
        <v>0.344</v>
      </c>
      <c r="I143" s="6">
        <v>0.004</v>
      </c>
      <c r="J143" s="6">
        <v>5</v>
      </c>
    </row>
    <row r="144" spans="1:10">
      <c r="A144" s="5" t="s">
        <v>11</v>
      </c>
      <c r="B144" s="6"/>
      <c r="C144" s="6" t="s">
        <v>8</v>
      </c>
      <c r="D144" s="6"/>
      <c r="E144" s="6"/>
      <c r="F144" s="6" t="s">
        <v>9</v>
      </c>
      <c r="G144" s="6"/>
      <c r="H144" s="6"/>
      <c r="I144" s="5"/>
      <c r="J144" s="5"/>
    </row>
    <row r="145" spans="1:10">
      <c r="A145" s="5"/>
      <c r="B145" s="6" t="s">
        <v>10</v>
      </c>
      <c r="C145" s="6">
        <v>0.217</v>
      </c>
      <c r="D145" s="6">
        <v>0.233</v>
      </c>
      <c r="E145" s="6">
        <v>0.225</v>
      </c>
      <c r="F145" s="6">
        <v>0.261</v>
      </c>
      <c r="G145" s="6">
        <v>0.285</v>
      </c>
      <c r="H145" s="6">
        <v>0.28</v>
      </c>
      <c r="I145" s="6">
        <v>0.004</v>
      </c>
      <c r="J145" s="6">
        <v>5</v>
      </c>
    </row>
    <row r="146" spans="1:10">
      <c r="A146" s="5"/>
      <c r="B146" s="6">
        <v>20</v>
      </c>
      <c r="C146" s="6">
        <v>0.33</v>
      </c>
      <c r="D146" s="7">
        <v>0.298</v>
      </c>
      <c r="E146" s="6">
        <v>0.308</v>
      </c>
      <c r="F146" s="6">
        <v>0.419</v>
      </c>
      <c r="G146" s="7">
        <v>0.407</v>
      </c>
      <c r="H146" s="6">
        <v>0.408</v>
      </c>
      <c r="I146" s="6">
        <v>0.004</v>
      </c>
      <c r="J146" s="6">
        <v>5</v>
      </c>
    </row>
    <row r="147" spans="1:10">
      <c r="A147" s="5"/>
      <c r="B147" s="6">
        <v>100</v>
      </c>
      <c r="C147" s="6">
        <v>0.212</v>
      </c>
      <c r="D147" s="6">
        <v>0.235</v>
      </c>
      <c r="E147" s="6">
        <v>0.261</v>
      </c>
      <c r="F147" s="6">
        <v>0.318</v>
      </c>
      <c r="G147" s="6">
        <v>0.32</v>
      </c>
      <c r="H147" s="6">
        <v>0.357</v>
      </c>
      <c r="I147" s="6">
        <v>0.003</v>
      </c>
      <c r="J147" s="6">
        <v>6</v>
      </c>
    </row>
    <row r="148" spans="1:10">
      <c r="A148" s="5"/>
      <c r="B148" s="6">
        <v>500</v>
      </c>
      <c r="C148" s="6">
        <v>0.276</v>
      </c>
      <c r="D148" s="6">
        <v>0.283</v>
      </c>
      <c r="E148" s="6">
        <v>0.281</v>
      </c>
      <c r="F148" s="6">
        <v>0.343</v>
      </c>
      <c r="G148" s="6">
        <v>0.378</v>
      </c>
      <c r="H148" s="6">
        <v>0.358</v>
      </c>
      <c r="I148" s="6">
        <v>0.004</v>
      </c>
      <c r="J148" s="6">
        <v>5</v>
      </c>
    </row>
    <row r="149" spans="1:10">
      <c r="A149" s="5"/>
      <c r="B149" s="6">
        <v>2500</v>
      </c>
      <c r="C149" s="6">
        <v>0.222</v>
      </c>
      <c r="D149" s="6">
        <v>0.255</v>
      </c>
      <c r="E149" s="6">
        <v>0.236</v>
      </c>
      <c r="F149" s="6">
        <v>0.292</v>
      </c>
      <c r="G149" s="6">
        <v>0.33</v>
      </c>
      <c r="H149" s="6">
        <v>0.316</v>
      </c>
      <c r="I149" s="6">
        <v>0.005</v>
      </c>
      <c r="J149" s="6">
        <v>4</v>
      </c>
    </row>
    <row r="151" ht="14.25" spans="1:10">
      <c r="A151" s="11" t="s">
        <v>41</v>
      </c>
      <c r="B151" s="12"/>
      <c r="C151" s="12"/>
      <c r="D151" s="12"/>
      <c r="E151" s="12"/>
      <c r="F151" s="12"/>
      <c r="G151" s="12"/>
      <c r="H151" s="12"/>
      <c r="I151" s="12"/>
      <c r="J151" s="12"/>
    </row>
    <row r="152" spans="1:10">
      <c r="A152" s="5" t="s">
        <v>2</v>
      </c>
      <c r="B152" s="6"/>
      <c r="C152" s="5" t="s">
        <v>15</v>
      </c>
      <c r="D152" s="5"/>
      <c r="E152" s="5"/>
      <c r="F152" s="5" t="s">
        <v>16</v>
      </c>
      <c r="G152" s="5"/>
      <c r="H152" s="5"/>
      <c r="I152" s="6" t="s">
        <v>5</v>
      </c>
      <c r="J152" s="6" t="s">
        <v>6</v>
      </c>
    </row>
    <row r="153" spans="1:10">
      <c r="A153" s="5"/>
      <c r="B153" s="6" t="s">
        <v>10</v>
      </c>
      <c r="C153" s="6">
        <v>0.102</v>
      </c>
      <c r="D153" s="6">
        <v>0.102</v>
      </c>
      <c r="E153" s="7">
        <v>0.103</v>
      </c>
      <c r="F153" s="6">
        <v>0.133</v>
      </c>
      <c r="G153" s="6">
        <v>0.125</v>
      </c>
      <c r="H153" s="6">
        <v>0.119</v>
      </c>
      <c r="I153" s="6">
        <v>0.006</v>
      </c>
      <c r="J153" s="6">
        <v>3</v>
      </c>
    </row>
    <row r="154" spans="1:10">
      <c r="A154" s="5"/>
      <c r="B154" s="6">
        <v>20</v>
      </c>
      <c r="C154" s="6">
        <v>0.098</v>
      </c>
      <c r="D154" s="7">
        <v>0.094</v>
      </c>
      <c r="E154" s="6">
        <v>0.091</v>
      </c>
      <c r="F154" s="6">
        <v>0.118</v>
      </c>
      <c r="G154" s="7">
        <v>0.113</v>
      </c>
      <c r="H154" s="6">
        <v>0.108</v>
      </c>
      <c r="I154" s="6">
        <v>0.004</v>
      </c>
      <c r="J154" s="6">
        <v>5</v>
      </c>
    </row>
    <row r="155" spans="1:10">
      <c r="A155" s="5"/>
      <c r="B155" s="6">
        <v>100</v>
      </c>
      <c r="C155" s="6">
        <v>0.099</v>
      </c>
      <c r="D155" s="6">
        <v>0.101</v>
      </c>
      <c r="E155" s="6">
        <v>0.11</v>
      </c>
      <c r="F155" s="6">
        <v>0.107</v>
      </c>
      <c r="G155" s="6">
        <v>0.11</v>
      </c>
      <c r="H155" s="6">
        <v>0.118</v>
      </c>
      <c r="I155" s="6">
        <v>0.002</v>
      </c>
      <c r="J155" s="6">
        <v>10</v>
      </c>
    </row>
    <row r="156" spans="1:10">
      <c r="A156" s="5"/>
      <c r="B156" s="6">
        <v>500</v>
      </c>
      <c r="C156" s="6">
        <v>0.103</v>
      </c>
      <c r="D156" s="7">
        <v>0.104</v>
      </c>
      <c r="E156" s="6">
        <v>0.106</v>
      </c>
      <c r="F156" s="6">
        <v>0.117</v>
      </c>
      <c r="G156" s="7">
        <v>0.119</v>
      </c>
      <c r="H156" s="6">
        <v>0.119</v>
      </c>
      <c r="I156" s="6">
        <v>0.004</v>
      </c>
      <c r="J156" s="6">
        <v>5</v>
      </c>
    </row>
    <row r="157" spans="1:10">
      <c r="A157" s="5"/>
      <c r="B157" s="6">
        <v>2500</v>
      </c>
      <c r="C157" s="6">
        <v>0.103</v>
      </c>
      <c r="D157" s="6">
        <v>0.106</v>
      </c>
      <c r="E157" s="6">
        <v>0.104</v>
      </c>
      <c r="F157" s="6">
        <v>0.113</v>
      </c>
      <c r="G157" s="7">
        <v>0.116</v>
      </c>
      <c r="H157" s="6">
        <v>0.115</v>
      </c>
      <c r="I157" s="6">
        <v>0.004</v>
      </c>
      <c r="J157" s="6">
        <v>5</v>
      </c>
    </row>
    <row r="158" spans="1:10">
      <c r="A158" s="5" t="s">
        <v>11</v>
      </c>
      <c r="B158" s="6"/>
      <c r="C158" s="5" t="s">
        <v>15</v>
      </c>
      <c r="D158" s="5"/>
      <c r="E158" s="5"/>
      <c r="F158" s="5" t="s">
        <v>16</v>
      </c>
      <c r="G158" s="5"/>
      <c r="H158" s="5"/>
      <c r="I158" s="5"/>
      <c r="J158" s="5"/>
    </row>
    <row r="159" spans="1:10">
      <c r="A159" s="5"/>
      <c r="B159" s="6" t="s">
        <v>10</v>
      </c>
      <c r="C159" s="6">
        <v>0.097</v>
      </c>
      <c r="D159" s="6">
        <v>0.106</v>
      </c>
      <c r="E159" s="6">
        <v>0.104</v>
      </c>
      <c r="F159" s="6">
        <v>0.102</v>
      </c>
      <c r="G159" s="6">
        <v>0.112</v>
      </c>
      <c r="H159" s="6">
        <v>0.108</v>
      </c>
      <c r="I159" s="6">
        <v>0.004</v>
      </c>
      <c r="J159" s="6">
        <v>5</v>
      </c>
    </row>
    <row r="160" spans="1:10">
      <c r="A160" s="5"/>
      <c r="B160" s="6">
        <v>20</v>
      </c>
      <c r="C160" s="6">
        <v>0.107</v>
      </c>
      <c r="D160" s="7">
        <v>0.103</v>
      </c>
      <c r="E160" s="6">
        <v>0.115</v>
      </c>
      <c r="F160" s="6">
        <v>0.119</v>
      </c>
      <c r="G160" s="7">
        <v>0.116</v>
      </c>
      <c r="H160" s="6">
        <v>0.128</v>
      </c>
      <c r="I160" s="6">
        <v>0.004</v>
      </c>
      <c r="J160" s="6">
        <v>5</v>
      </c>
    </row>
    <row r="161" spans="1:10">
      <c r="A161" s="5"/>
      <c r="B161" s="6">
        <v>100</v>
      </c>
      <c r="C161" s="6">
        <v>0.101</v>
      </c>
      <c r="D161" s="6">
        <v>0.098</v>
      </c>
      <c r="E161" s="6">
        <v>0.099</v>
      </c>
      <c r="F161" s="6">
        <v>0.114</v>
      </c>
      <c r="G161" s="6">
        <v>0.11</v>
      </c>
      <c r="H161" s="6">
        <v>0.113</v>
      </c>
      <c r="I161" s="6">
        <v>0.003</v>
      </c>
      <c r="J161" s="6">
        <v>6</v>
      </c>
    </row>
    <row r="162" spans="1:10">
      <c r="A162" s="5"/>
      <c r="B162" s="6">
        <v>500</v>
      </c>
      <c r="C162" s="6">
        <v>0.102</v>
      </c>
      <c r="D162" s="6">
        <v>0.095</v>
      </c>
      <c r="E162" s="6">
        <v>0.101</v>
      </c>
      <c r="F162" s="6">
        <v>0.115</v>
      </c>
      <c r="G162" s="6">
        <v>0.108</v>
      </c>
      <c r="H162" s="6">
        <v>0.11</v>
      </c>
      <c r="I162" s="6">
        <v>0.004</v>
      </c>
      <c r="J162" s="6">
        <v>5</v>
      </c>
    </row>
    <row r="163" spans="1:10">
      <c r="A163" s="5"/>
      <c r="B163" s="6">
        <v>2500</v>
      </c>
      <c r="C163" s="6">
        <v>0.098</v>
      </c>
      <c r="D163" s="6">
        <v>0.095</v>
      </c>
      <c r="E163" s="6">
        <v>0.096</v>
      </c>
      <c r="F163" s="6">
        <v>0.109</v>
      </c>
      <c r="G163" s="6">
        <v>0.106</v>
      </c>
      <c r="H163" s="6">
        <v>0.108</v>
      </c>
      <c r="I163" s="6">
        <v>0.005</v>
      </c>
      <c r="J163" s="6">
        <v>4</v>
      </c>
    </row>
    <row r="165" spans="1:7">
      <c r="A165" s="18" t="s">
        <v>42</v>
      </c>
      <c r="B165" s="18"/>
      <c r="C165" s="18"/>
      <c r="D165" s="18"/>
      <c r="E165" s="18"/>
      <c r="F165" s="18"/>
      <c r="G165" s="18"/>
    </row>
    <row r="166" spans="1:7">
      <c r="A166" s="6" t="s">
        <v>43</v>
      </c>
      <c r="B166" s="6">
        <v>16</v>
      </c>
      <c r="C166" s="6">
        <v>8</v>
      </c>
      <c r="D166" s="6">
        <v>4</v>
      </c>
      <c r="E166" s="6">
        <v>2</v>
      </c>
      <c r="F166" s="6">
        <v>1</v>
      </c>
      <c r="G166" s="6">
        <v>0</v>
      </c>
    </row>
    <row r="167" spans="1:7">
      <c r="A167" s="6" t="s">
        <v>44</v>
      </c>
      <c r="B167" s="6">
        <v>0.508</v>
      </c>
      <c r="C167" s="6">
        <v>0.276</v>
      </c>
      <c r="D167" s="6">
        <v>0.197</v>
      </c>
      <c r="E167" s="6">
        <v>0.101</v>
      </c>
      <c r="F167" s="6">
        <v>0.094</v>
      </c>
      <c r="G167" s="6">
        <v>0.057</v>
      </c>
    </row>
    <row r="168" spans="1:7">
      <c r="A168" s="6" t="s">
        <v>45</v>
      </c>
      <c r="B168" s="6">
        <v>0.474</v>
      </c>
      <c r="C168" s="6">
        <v>0.287</v>
      </c>
      <c r="D168" s="6">
        <v>0.188</v>
      </c>
      <c r="E168" s="6">
        <v>0.128</v>
      </c>
      <c r="F168" s="6">
        <v>0.089</v>
      </c>
      <c r="G168" s="6">
        <v>0.063</v>
      </c>
    </row>
    <row r="169" spans="1:7">
      <c r="A169" s="6" t="s">
        <v>46</v>
      </c>
      <c r="B169" s="6">
        <v>0.531</v>
      </c>
      <c r="C169" s="6">
        <v>0.288</v>
      </c>
      <c r="D169" s="6">
        <v>0.193</v>
      </c>
      <c r="E169" s="6">
        <v>0.126</v>
      </c>
      <c r="F169" s="6">
        <v>0.09</v>
      </c>
      <c r="G169" s="6">
        <v>0.06</v>
      </c>
    </row>
    <row r="171" spans="1:8">
      <c r="A171" s="5"/>
      <c r="B171" s="6" t="s">
        <v>47</v>
      </c>
      <c r="C171" s="6" t="s">
        <v>44</v>
      </c>
      <c r="D171" s="6" t="s">
        <v>45</v>
      </c>
      <c r="E171" s="6" t="s">
        <v>46</v>
      </c>
      <c r="F171" s="8"/>
      <c r="G171" s="8"/>
      <c r="H171" s="8"/>
    </row>
    <row r="172" spans="1:8">
      <c r="A172" s="5" t="s">
        <v>2</v>
      </c>
      <c r="B172" s="6" t="s">
        <v>10</v>
      </c>
      <c r="C172" s="6">
        <v>0.211</v>
      </c>
      <c r="D172" s="6">
        <v>0.277</v>
      </c>
      <c r="E172" s="6">
        <v>0.237</v>
      </c>
      <c r="F172" s="8"/>
      <c r="G172" s="8"/>
      <c r="H172" s="8"/>
    </row>
    <row r="173" spans="1:8">
      <c r="A173" s="5"/>
      <c r="B173" s="6">
        <v>20</v>
      </c>
      <c r="C173" s="6">
        <v>0.145</v>
      </c>
      <c r="D173" s="6">
        <v>0.119</v>
      </c>
      <c r="E173" s="6">
        <v>0.118</v>
      </c>
      <c r="F173" s="8"/>
      <c r="G173" s="8"/>
      <c r="H173" s="8"/>
    </row>
    <row r="174" spans="1:8">
      <c r="A174" s="5"/>
      <c r="B174" s="6">
        <v>100</v>
      </c>
      <c r="C174" s="6">
        <v>0.247</v>
      </c>
      <c r="D174" s="6">
        <v>0.221</v>
      </c>
      <c r="E174" s="6">
        <v>0.221</v>
      </c>
      <c r="F174" s="8"/>
      <c r="G174" s="8"/>
      <c r="H174" s="8"/>
    </row>
    <row r="175" spans="1:8">
      <c r="A175" s="5"/>
      <c r="B175" s="6">
        <v>500</v>
      </c>
      <c r="C175" s="6">
        <v>0.216</v>
      </c>
      <c r="D175" s="6">
        <v>0.151</v>
      </c>
      <c r="E175" s="6">
        <v>0.176</v>
      </c>
      <c r="F175" s="8"/>
      <c r="G175" s="8"/>
      <c r="H175" s="8"/>
    </row>
    <row r="176" spans="1:8">
      <c r="A176" s="5"/>
      <c r="B176" s="6">
        <v>2500</v>
      </c>
      <c r="C176" s="6">
        <v>0.124</v>
      </c>
      <c r="D176" s="6">
        <v>0.136</v>
      </c>
      <c r="E176" s="6">
        <v>0.119</v>
      </c>
      <c r="F176" s="8"/>
      <c r="G176" s="8"/>
      <c r="H176" s="8"/>
    </row>
    <row r="177" spans="1:8">
      <c r="A177" s="5" t="s">
        <v>11</v>
      </c>
      <c r="B177" s="6" t="s">
        <v>10</v>
      </c>
      <c r="C177" s="6">
        <v>0.114</v>
      </c>
      <c r="D177" s="6">
        <v>0.104</v>
      </c>
      <c r="E177" s="6">
        <v>0.101</v>
      </c>
      <c r="F177" s="8"/>
      <c r="G177" s="8"/>
      <c r="H177" s="8"/>
    </row>
    <row r="178" spans="1:8">
      <c r="A178" s="5"/>
      <c r="B178" s="6">
        <v>20</v>
      </c>
      <c r="C178" s="6">
        <v>0.128</v>
      </c>
      <c r="D178" s="6">
        <v>0.107</v>
      </c>
      <c r="E178" s="6">
        <v>0.108</v>
      </c>
      <c r="F178" s="8"/>
      <c r="G178" s="8"/>
      <c r="H178" s="8"/>
    </row>
    <row r="179" spans="1:8">
      <c r="A179" s="5"/>
      <c r="B179" s="6">
        <v>100</v>
      </c>
      <c r="C179" s="6">
        <v>0.15</v>
      </c>
      <c r="D179" s="6">
        <v>0.143</v>
      </c>
      <c r="E179" s="6">
        <v>0.138</v>
      </c>
      <c r="F179" s="8"/>
      <c r="G179" s="8"/>
      <c r="H179" s="8"/>
    </row>
    <row r="180" spans="1:8">
      <c r="A180" s="5"/>
      <c r="B180" s="6">
        <v>500</v>
      </c>
      <c r="C180" s="6">
        <v>0.101</v>
      </c>
      <c r="D180" s="6">
        <v>0.117</v>
      </c>
      <c r="E180" s="6">
        <v>0.113</v>
      </c>
      <c r="F180" s="8"/>
      <c r="G180" s="8"/>
      <c r="H180" s="8"/>
    </row>
    <row r="181" spans="1:8">
      <c r="A181" s="5"/>
      <c r="B181" s="6">
        <v>2500</v>
      </c>
      <c r="C181" s="6">
        <v>0.12</v>
      </c>
      <c r="D181" s="7">
        <v>0.11</v>
      </c>
      <c r="E181" s="6">
        <v>0.098</v>
      </c>
      <c r="F181" s="8"/>
      <c r="G181" s="8"/>
      <c r="H181" s="8"/>
    </row>
    <row r="184" ht="14.25" spans="1:10">
      <c r="A184" s="2" t="s">
        <v>48</v>
      </c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5" t="s">
        <v>2</v>
      </c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19" t="s">
        <v>49</v>
      </c>
      <c r="B186" s="5" t="s">
        <v>50</v>
      </c>
      <c r="C186" s="5"/>
      <c r="D186" s="5"/>
      <c r="E186" s="5" t="s">
        <v>50</v>
      </c>
      <c r="F186" s="5"/>
      <c r="G186" s="5"/>
      <c r="H186" s="5" t="s">
        <v>50</v>
      </c>
      <c r="I186" s="5"/>
      <c r="J186" s="5"/>
    </row>
    <row r="187" spans="1:10">
      <c r="A187" s="5"/>
      <c r="B187" s="5" t="s">
        <v>51</v>
      </c>
      <c r="C187" s="5" t="s">
        <v>52</v>
      </c>
      <c r="D187" s="5" t="s">
        <v>53</v>
      </c>
      <c r="E187" s="5" t="s">
        <v>51</v>
      </c>
      <c r="F187" s="5" t="s">
        <v>52</v>
      </c>
      <c r="G187" s="5" t="s">
        <v>53</v>
      </c>
      <c r="H187" s="5" t="s">
        <v>51</v>
      </c>
      <c r="I187" s="5" t="s">
        <v>52</v>
      </c>
      <c r="J187" s="5" t="s">
        <v>53</v>
      </c>
    </row>
    <row r="188" spans="1:10">
      <c r="A188" s="5" t="s">
        <v>54</v>
      </c>
      <c r="B188" s="5">
        <v>0</v>
      </c>
      <c r="C188" s="5">
        <f t="shared" ref="C188:C193" si="0">D188-B188</f>
        <v>20</v>
      </c>
      <c r="D188" s="5">
        <v>20</v>
      </c>
      <c r="E188" s="5">
        <v>0</v>
      </c>
      <c r="F188" s="5">
        <f t="shared" ref="F188:F193" si="1">G188-E188</f>
        <v>20</v>
      </c>
      <c r="G188" s="5">
        <v>20</v>
      </c>
      <c r="H188" s="5">
        <v>0</v>
      </c>
      <c r="I188" s="5">
        <f t="shared" ref="I188:I193" si="2">J188-H188</f>
        <v>20</v>
      </c>
      <c r="J188" s="5">
        <v>20</v>
      </c>
    </row>
    <row r="189" spans="1:10">
      <c r="A189" s="5" t="s">
        <v>55</v>
      </c>
      <c r="B189" s="5">
        <v>0</v>
      </c>
      <c r="C189" s="5">
        <f t="shared" si="0"/>
        <v>20</v>
      </c>
      <c r="D189" s="5">
        <v>20</v>
      </c>
      <c r="E189" s="5">
        <v>1</v>
      </c>
      <c r="F189" s="5">
        <f t="shared" si="1"/>
        <v>19</v>
      </c>
      <c r="G189" s="5">
        <v>20</v>
      </c>
      <c r="H189" s="5">
        <v>1</v>
      </c>
      <c r="I189" s="5">
        <f t="shared" si="2"/>
        <v>19</v>
      </c>
      <c r="J189" s="5">
        <v>20</v>
      </c>
    </row>
    <row r="190" spans="1:10">
      <c r="A190" s="5" t="s">
        <v>56</v>
      </c>
      <c r="B190" s="5">
        <v>1</v>
      </c>
      <c r="C190" s="5">
        <f t="shared" si="0"/>
        <v>19</v>
      </c>
      <c r="D190" s="5">
        <v>20</v>
      </c>
      <c r="E190" s="5">
        <v>3</v>
      </c>
      <c r="F190" s="5">
        <f t="shared" si="1"/>
        <v>17</v>
      </c>
      <c r="G190" s="5">
        <v>20</v>
      </c>
      <c r="H190" s="5">
        <v>2</v>
      </c>
      <c r="I190" s="5">
        <f t="shared" si="2"/>
        <v>18</v>
      </c>
      <c r="J190" s="5">
        <v>20</v>
      </c>
    </row>
    <row r="191" spans="1:10">
      <c r="A191" s="5" t="s">
        <v>57</v>
      </c>
      <c r="B191" s="5">
        <v>2</v>
      </c>
      <c r="C191" s="5">
        <f t="shared" si="0"/>
        <v>18</v>
      </c>
      <c r="D191" s="5">
        <v>20</v>
      </c>
      <c r="E191" s="5">
        <v>4</v>
      </c>
      <c r="F191" s="5">
        <f t="shared" si="1"/>
        <v>16</v>
      </c>
      <c r="G191" s="5">
        <v>20</v>
      </c>
      <c r="H191" s="5">
        <v>4</v>
      </c>
      <c r="I191" s="5">
        <f t="shared" si="2"/>
        <v>16</v>
      </c>
      <c r="J191" s="5">
        <v>20</v>
      </c>
    </row>
    <row r="192" spans="1:10">
      <c r="A192" s="5" t="s">
        <v>58</v>
      </c>
      <c r="B192" s="5">
        <v>5</v>
      </c>
      <c r="C192" s="5">
        <f t="shared" si="0"/>
        <v>15</v>
      </c>
      <c r="D192" s="5">
        <v>20</v>
      </c>
      <c r="E192" s="5">
        <v>6</v>
      </c>
      <c r="F192" s="5">
        <f t="shared" si="1"/>
        <v>14</v>
      </c>
      <c r="G192" s="5">
        <v>20</v>
      </c>
      <c r="H192" s="5">
        <v>6</v>
      </c>
      <c r="I192" s="5">
        <f t="shared" si="2"/>
        <v>14</v>
      </c>
      <c r="J192" s="5">
        <v>20</v>
      </c>
    </row>
    <row r="193" spans="1:10">
      <c r="A193" s="5" t="s">
        <v>59</v>
      </c>
      <c r="B193" s="5">
        <v>10</v>
      </c>
      <c r="C193" s="5">
        <f t="shared" si="0"/>
        <v>10</v>
      </c>
      <c r="D193" s="5">
        <v>20</v>
      </c>
      <c r="E193" s="5">
        <v>11</v>
      </c>
      <c r="F193" s="5">
        <f t="shared" si="1"/>
        <v>9</v>
      </c>
      <c r="G193" s="5">
        <v>20</v>
      </c>
      <c r="H193" s="5">
        <v>10</v>
      </c>
      <c r="I193" s="5">
        <f t="shared" si="2"/>
        <v>10</v>
      </c>
      <c r="J193" s="5">
        <v>20</v>
      </c>
    </row>
    <row r="194" spans="1:10">
      <c r="A194" s="5" t="s">
        <v>11</v>
      </c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19" t="s">
        <v>49</v>
      </c>
      <c r="B195" s="5" t="s">
        <v>50</v>
      </c>
      <c r="C195" s="5"/>
      <c r="D195" s="5"/>
      <c r="E195" s="5" t="s">
        <v>50</v>
      </c>
      <c r="F195" s="5"/>
      <c r="G195" s="5"/>
      <c r="H195" s="5" t="s">
        <v>50</v>
      </c>
      <c r="I195" s="5"/>
      <c r="J195" s="5"/>
    </row>
    <row r="196" spans="1:10">
      <c r="A196" s="5"/>
      <c r="B196" s="5" t="s">
        <v>51</v>
      </c>
      <c r="C196" s="5" t="s">
        <v>52</v>
      </c>
      <c r="D196" s="5" t="s">
        <v>53</v>
      </c>
      <c r="E196" s="5" t="s">
        <v>51</v>
      </c>
      <c r="F196" s="5" t="s">
        <v>52</v>
      </c>
      <c r="G196" s="5" t="s">
        <v>53</v>
      </c>
      <c r="H196" s="5" t="s">
        <v>51</v>
      </c>
      <c r="I196" s="5" t="s">
        <v>52</v>
      </c>
      <c r="J196" s="5" t="s">
        <v>53</v>
      </c>
    </row>
    <row r="197" spans="1:10">
      <c r="A197" s="5" t="s">
        <v>54</v>
      </c>
      <c r="B197" s="5">
        <v>0</v>
      </c>
      <c r="C197" s="5">
        <f t="shared" ref="C197:C202" si="3">D197-B197</f>
        <v>20</v>
      </c>
      <c r="D197" s="5">
        <v>20</v>
      </c>
      <c r="E197" s="5">
        <v>0</v>
      </c>
      <c r="F197" s="5">
        <f t="shared" ref="F197:F202" si="4">G197-E197</f>
        <v>20</v>
      </c>
      <c r="G197" s="5">
        <v>20</v>
      </c>
      <c r="H197" s="5">
        <v>0</v>
      </c>
      <c r="I197" s="5">
        <f t="shared" ref="I197:I202" si="5">J197-H197</f>
        <v>20</v>
      </c>
      <c r="J197" s="5">
        <v>20</v>
      </c>
    </row>
    <row r="198" spans="1:10">
      <c r="A198" s="5" t="s">
        <v>55</v>
      </c>
      <c r="B198" s="5">
        <v>1</v>
      </c>
      <c r="C198" s="5">
        <f t="shared" si="3"/>
        <v>19</v>
      </c>
      <c r="D198" s="5">
        <v>20</v>
      </c>
      <c r="E198" s="5">
        <v>1</v>
      </c>
      <c r="F198" s="5">
        <f t="shared" si="4"/>
        <v>19</v>
      </c>
      <c r="G198" s="5">
        <v>20</v>
      </c>
      <c r="H198" s="5">
        <v>2</v>
      </c>
      <c r="I198" s="5">
        <f t="shared" si="5"/>
        <v>18</v>
      </c>
      <c r="J198" s="5">
        <v>20</v>
      </c>
    </row>
    <row r="199" spans="1:10">
      <c r="A199" s="5" t="s">
        <v>56</v>
      </c>
      <c r="B199" s="5">
        <v>3</v>
      </c>
      <c r="C199" s="5">
        <f t="shared" si="3"/>
        <v>17</v>
      </c>
      <c r="D199" s="5">
        <v>20</v>
      </c>
      <c r="E199" s="5">
        <v>2</v>
      </c>
      <c r="F199" s="5">
        <f t="shared" si="4"/>
        <v>18</v>
      </c>
      <c r="G199" s="5">
        <v>20</v>
      </c>
      <c r="H199" s="5">
        <v>3</v>
      </c>
      <c r="I199" s="5">
        <f t="shared" si="5"/>
        <v>17</v>
      </c>
      <c r="J199" s="5">
        <v>20</v>
      </c>
    </row>
    <row r="200" spans="1:10">
      <c r="A200" s="5" t="s">
        <v>57</v>
      </c>
      <c r="B200" s="5">
        <v>5</v>
      </c>
      <c r="C200" s="5">
        <f t="shared" si="3"/>
        <v>15</v>
      </c>
      <c r="D200" s="5">
        <v>20</v>
      </c>
      <c r="E200" s="5">
        <v>5</v>
      </c>
      <c r="F200" s="5">
        <f t="shared" si="4"/>
        <v>15</v>
      </c>
      <c r="G200" s="5">
        <v>20</v>
      </c>
      <c r="H200" s="5">
        <v>4</v>
      </c>
      <c r="I200" s="5">
        <f t="shared" si="5"/>
        <v>16</v>
      </c>
      <c r="J200" s="5">
        <v>20</v>
      </c>
    </row>
    <row r="201" spans="1:10">
      <c r="A201" s="5" t="s">
        <v>58</v>
      </c>
      <c r="B201" s="5">
        <v>7</v>
      </c>
      <c r="C201" s="5">
        <f t="shared" si="3"/>
        <v>13</v>
      </c>
      <c r="D201" s="5">
        <v>20</v>
      </c>
      <c r="E201" s="5">
        <v>8</v>
      </c>
      <c r="F201" s="5">
        <f t="shared" si="4"/>
        <v>12</v>
      </c>
      <c r="G201" s="5">
        <v>20</v>
      </c>
      <c r="H201" s="5">
        <v>8</v>
      </c>
      <c r="I201" s="5">
        <f t="shared" si="5"/>
        <v>12</v>
      </c>
      <c r="J201" s="5">
        <v>20</v>
      </c>
    </row>
    <row r="202" spans="1:10">
      <c r="A202" s="5" t="s">
        <v>59</v>
      </c>
      <c r="B202" s="5">
        <v>12</v>
      </c>
      <c r="C202" s="5">
        <f>D202-B202</f>
        <v>8</v>
      </c>
      <c r="D202" s="5">
        <v>20</v>
      </c>
      <c r="E202" s="5">
        <v>13</v>
      </c>
      <c r="F202" s="5">
        <f t="shared" si="4"/>
        <v>7</v>
      </c>
      <c r="G202" s="5">
        <v>20</v>
      </c>
      <c r="H202" s="5">
        <v>12</v>
      </c>
      <c r="I202" s="5">
        <f t="shared" si="5"/>
        <v>8</v>
      </c>
      <c r="J202" s="5">
        <v>20</v>
      </c>
    </row>
    <row r="204" spans="1:11">
      <c r="A204" s="5" t="s">
        <v>60</v>
      </c>
      <c r="B204" s="5" t="s">
        <v>2</v>
      </c>
      <c r="C204" s="5"/>
      <c r="D204" s="5"/>
      <c r="E204" s="5"/>
      <c r="F204" s="5"/>
      <c r="G204" s="20" t="s">
        <v>11</v>
      </c>
      <c r="H204" s="21"/>
      <c r="I204" s="21"/>
      <c r="J204" s="21"/>
      <c r="K204" s="24"/>
    </row>
    <row r="205" spans="1:11">
      <c r="A205" s="5"/>
      <c r="B205" s="19" t="s">
        <v>49</v>
      </c>
      <c r="C205" s="5" t="s">
        <v>51</v>
      </c>
      <c r="D205" s="5" t="s">
        <v>53</v>
      </c>
      <c r="E205" s="5" t="s">
        <v>52</v>
      </c>
      <c r="F205" s="19" t="s">
        <v>61</v>
      </c>
      <c r="G205" s="19" t="s">
        <v>49</v>
      </c>
      <c r="H205" s="5" t="s">
        <v>51</v>
      </c>
      <c r="I205" s="5" t="s">
        <v>53</v>
      </c>
      <c r="J205" s="5" t="s">
        <v>52</v>
      </c>
      <c r="K205" s="19" t="s">
        <v>61</v>
      </c>
    </row>
    <row r="206" spans="1:11">
      <c r="A206" s="5"/>
      <c r="B206" s="19" t="s">
        <v>62</v>
      </c>
      <c r="C206" s="19">
        <f t="shared" ref="C206:C226" si="6">D206-E206</f>
        <v>20</v>
      </c>
      <c r="D206" s="22">
        <v>20</v>
      </c>
      <c r="E206" s="5">
        <v>0</v>
      </c>
      <c r="F206" s="22">
        <f t="shared" ref="F206:F226" si="7">C206/D206</f>
        <v>1</v>
      </c>
      <c r="G206" s="19" t="s">
        <v>62</v>
      </c>
      <c r="H206" s="19">
        <f t="shared" ref="H206:H226" si="8">I206-J206</f>
        <v>27</v>
      </c>
      <c r="I206" s="22">
        <v>27</v>
      </c>
      <c r="J206" s="23">
        <v>0</v>
      </c>
      <c r="K206" s="22">
        <f t="shared" ref="K206:K226" si="9">H206/I206</f>
        <v>1</v>
      </c>
    </row>
    <row r="207" spans="1:11">
      <c r="A207" s="5"/>
      <c r="B207" s="19" t="s">
        <v>63</v>
      </c>
      <c r="C207" s="19">
        <f t="shared" si="6"/>
        <v>20</v>
      </c>
      <c r="D207" s="22">
        <v>20</v>
      </c>
      <c r="E207" s="5">
        <v>0</v>
      </c>
      <c r="F207" s="22">
        <f t="shared" si="7"/>
        <v>1</v>
      </c>
      <c r="G207" s="19" t="s">
        <v>63</v>
      </c>
      <c r="H207" s="19">
        <f t="shared" si="8"/>
        <v>23</v>
      </c>
      <c r="I207" s="22">
        <v>23</v>
      </c>
      <c r="J207" s="6">
        <v>0</v>
      </c>
      <c r="K207" s="22">
        <f t="shared" si="9"/>
        <v>1</v>
      </c>
    </row>
    <row r="208" spans="1:11">
      <c r="A208" s="5"/>
      <c r="B208" s="19" t="s">
        <v>64</v>
      </c>
      <c r="C208" s="19">
        <f t="shared" si="6"/>
        <v>16</v>
      </c>
      <c r="D208" s="22">
        <v>16</v>
      </c>
      <c r="E208" s="5">
        <v>0</v>
      </c>
      <c r="F208" s="22">
        <f t="shared" si="7"/>
        <v>1</v>
      </c>
      <c r="G208" s="19" t="s">
        <v>64</v>
      </c>
      <c r="H208" s="19">
        <f t="shared" si="8"/>
        <v>25</v>
      </c>
      <c r="I208" s="22">
        <v>25</v>
      </c>
      <c r="J208" s="23">
        <v>0</v>
      </c>
      <c r="K208" s="22">
        <f t="shared" si="9"/>
        <v>1</v>
      </c>
    </row>
    <row r="209" spans="1:11">
      <c r="A209" s="5"/>
      <c r="B209" s="19" t="s">
        <v>65</v>
      </c>
      <c r="C209" s="19">
        <f t="shared" si="6"/>
        <v>16</v>
      </c>
      <c r="D209" s="22">
        <v>20</v>
      </c>
      <c r="E209" s="23">
        <v>4</v>
      </c>
      <c r="F209" s="22">
        <f t="shared" si="7"/>
        <v>0.8</v>
      </c>
      <c r="G209" s="19" t="s">
        <v>65</v>
      </c>
      <c r="H209" s="19">
        <f t="shared" si="8"/>
        <v>23</v>
      </c>
      <c r="I209" s="22">
        <v>27</v>
      </c>
      <c r="J209" s="23">
        <v>4</v>
      </c>
      <c r="K209" s="22">
        <f t="shared" si="9"/>
        <v>0.851851851851852</v>
      </c>
    </row>
    <row r="210" spans="1:11">
      <c r="A210" s="5"/>
      <c r="B210" s="19" t="s">
        <v>66</v>
      </c>
      <c r="C210" s="19">
        <f t="shared" si="6"/>
        <v>18</v>
      </c>
      <c r="D210" s="22">
        <v>20</v>
      </c>
      <c r="E210" s="6">
        <v>2</v>
      </c>
      <c r="F210" s="22">
        <f t="shared" si="7"/>
        <v>0.9</v>
      </c>
      <c r="G210" s="19" t="s">
        <v>66</v>
      </c>
      <c r="H210" s="19">
        <f t="shared" si="8"/>
        <v>21</v>
      </c>
      <c r="I210" s="22">
        <v>23</v>
      </c>
      <c r="J210" s="23">
        <v>2</v>
      </c>
      <c r="K210" s="22">
        <f t="shared" si="9"/>
        <v>0.91304347826087</v>
      </c>
    </row>
    <row r="211" spans="1:11">
      <c r="A211" s="5"/>
      <c r="B211" s="19" t="s">
        <v>67</v>
      </c>
      <c r="C211" s="19">
        <f t="shared" si="6"/>
        <v>13</v>
      </c>
      <c r="D211" s="22">
        <v>16</v>
      </c>
      <c r="E211" s="23">
        <v>3</v>
      </c>
      <c r="F211" s="22">
        <f t="shared" si="7"/>
        <v>0.8125</v>
      </c>
      <c r="G211" s="19" t="s">
        <v>67</v>
      </c>
      <c r="H211" s="19">
        <f t="shared" si="8"/>
        <v>23</v>
      </c>
      <c r="I211" s="22">
        <v>25</v>
      </c>
      <c r="J211" s="23">
        <v>2</v>
      </c>
      <c r="K211" s="22">
        <f t="shared" si="9"/>
        <v>0.92</v>
      </c>
    </row>
    <row r="212" spans="1:11">
      <c r="A212" s="5"/>
      <c r="B212" s="19" t="s">
        <v>68</v>
      </c>
      <c r="C212" s="19">
        <f t="shared" si="6"/>
        <v>15</v>
      </c>
      <c r="D212" s="22">
        <v>20</v>
      </c>
      <c r="E212" s="23">
        <v>5</v>
      </c>
      <c r="F212" s="22">
        <f t="shared" si="7"/>
        <v>0.75</v>
      </c>
      <c r="G212" s="19" t="s">
        <v>68</v>
      </c>
      <c r="H212" s="19">
        <f t="shared" si="8"/>
        <v>20</v>
      </c>
      <c r="I212" s="22">
        <v>27</v>
      </c>
      <c r="J212" s="23">
        <v>7</v>
      </c>
      <c r="K212" s="22">
        <f t="shared" si="9"/>
        <v>0.740740740740741</v>
      </c>
    </row>
    <row r="213" spans="1:11">
      <c r="A213" s="5"/>
      <c r="B213" s="19" t="s">
        <v>69</v>
      </c>
      <c r="C213" s="19">
        <f t="shared" si="6"/>
        <v>17</v>
      </c>
      <c r="D213" s="22">
        <v>20</v>
      </c>
      <c r="E213" s="19">
        <v>3</v>
      </c>
      <c r="F213" s="22">
        <f t="shared" si="7"/>
        <v>0.85</v>
      </c>
      <c r="G213" s="19" t="s">
        <v>69</v>
      </c>
      <c r="H213" s="19">
        <f t="shared" si="8"/>
        <v>20</v>
      </c>
      <c r="I213" s="22">
        <v>23</v>
      </c>
      <c r="J213" s="23">
        <v>3</v>
      </c>
      <c r="K213" s="22">
        <f t="shared" si="9"/>
        <v>0.869565217391304</v>
      </c>
    </row>
    <row r="214" spans="1:11">
      <c r="A214" s="5"/>
      <c r="B214" s="19" t="s">
        <v>70</v>
      </c>
      <c r="C214" s="19">
        <f t="shared" si="6"/>
        <v>12</v>
      </c>
      <c r="D214" s="22">
        <v>16</v>
      </c>
      <c r="E214" s="19">
        <v>4</v>
      </c>
      <c r="F214" s="22">
        <f t="shared" si="7"/>
        <v>0.75</v>
      </c>
      <c r="G214" s="19" t="s">
        <v>70</v>
      </c>
      <c r="H214" s="19">
        <f t="shared" si="8"/>
        <v>21</v>
      </c>
      <c r="I214" s="22">
        <v>25</v>
      </c>
      <c r="J214" s="23">
        <v>4</v>
      </c>
      <c r="K214" s="22">
        <f t="shared" si="9"/>
        <v>0.84</v>
      </c>
    </row>
    <row r="215" spans="1:11">
      <c r="A215" s="5"/>
      <c r="B215" s="19" t="s">
        <v>71</v>
      </c>
      <c r="C215" s="19">
        <f t="shared" si="6"/>
        <v>13</v>
      </c>
      <c r="D215" s="22">
        <v>20</v>
      </c>
      <c r="E215" s="19">
        <v>7</v>
      </c>
      <c r="F215" s="22">
        <f t="shared" si="7"/>
        <v>0.65</v>
      </c>
      <c r="G215" s="19" t="s">
        <v>71</v>
      </c>
      <c r="H215" s="19">
        <f t="shared" si="8"/>
        <v>18</v>
      </c>
      <c r="I215" s="22">
        <v>27</v>
      </c>
      <c r="J215" s="23">
        <v>9</v>
      </c>
      <c r="K215" s="22">
        <f t="shared" si="9"/>
        <v>0.666666666666667</v>
      </c>
    </row>
    <row r="216" spans="1:11">
      <c r="A216" s="5"/>
      <c r="B216" s="19" t="s">
        <v>72</v>
      </c>
      <c r="C216" s="19">
        <f t="shared" si="6"/>
        <v>16</v>
      </c>
      <c r="D216" s="22">
        <v>20</v>
      </c>
      <c r="E216" s="19">
        <v>4</v>
      </c>
      <c r="F216" s="22">
        <f t="shared" si="7"/>
        <v>0.8</v>
      </c>
      <c r="G216" s="19" t="s">
        <v>72</v>
      </c>
      <c r="H216" s="19">
        <f t="shared" si="8"/>
        <v>19</v>
      </c>
      <c r="I216" s="22">
        <v>23</v>
      </c>
      <c r="J216" s="23">
        <v>4</v>
      </c>
      <c r="K216" s="22">
        <f t="shared" si="9"/>
        <v>0.826086956521739</v>
      </c>
    </row>
    <row r="217" spans="1:11">
      <c r="A217" s="5"/>
      <c r="B217" s="19" t="s">
        <v>73</v>
      </c>
      <c r="C217" s="19">
        <f t="shared" si="6"/>
        <v>11</v>
      </c>
      <c r="D217" s="22">
        <v>16</v>
      </c>
      <c r="E217" s="19">
        <v>5</v>
      </c>
      <c r="F217" s="22">
        <f t="shared" si="7"/>
        <v>0.6875</v>
      </c>
      <c r="G217" s="19" t="s">
        <v>73</v>
      </c>
      <c r="H217" s="19">
        <f t="shared" si="8"/>
        <v>21</v>
      </c>
      <c r="I217" s="22">
        <v>25</v>
      </c>
      <c r="J217" s="23">
        <v>4</v>
      </c>
      <c r="K217" s="22">
        <f t="shared" si="9"/>
        <v>0.84</v>
      </c>
    </row>
    <row r="218" spans="1:11">
      <c r="A218" s="5"/>
      <c r="B218" s="19" t="s">
        <v>74</v>
      </c>
      <c r="C218" s="19">
        <f t="shared" si="6"/>
        <v>13</v>
      </c>
      <c r="D218" s="22">
        <v>20</v>
      </c>
      <c r="E218" s="19">
        <v>7</v>
      </c>
      <c r="F218" s="22">
        <f t="shared" si="7"/>
        <v>0.65</v>
      </c>
      <c r="G218" s="19" t="s">
        <v>74</v>
      </c>
      <c r="H218" s="19">
        <f t="shared" si="8"/>
        <v>16</v>
      </c>
      <c r="I218" s="22">
        <v>27</v>
      </c>
      <c r="J218" s="23">
        <v>11</v>
      </c>
      <c r="K218" s="22">
        <f t="shared" si="9"/>
        <v>0.592592592592593</v>
      </c>
    </row>
    <row r="219" spans="1:11">
      <c r="A219" s="5"/>
      <c r="B219" s="19" t="s">
        <v>75</v>
      </c>
      <c r="C219" s="19">
        <f t="shared" si="6"/>
        <v>14</v>
      </c>
      <c r="D219" s="22">
        <v>20</v>
      </c>
      <c r="E219" s="19">
        <v>6</v>
      </c>
      <c r="F219" s="22">
        <f t="shared" si="7"/>
        <v>0.7</v>
      </c>
      <c r="G219" s="19" t="s">
        <v>75</v>
      </c>
      <c r="H219" s="19">
        <f t="shared" si="8"/>
        <v>16</v>
      </c>
      <c r="I219" s="22">
        <v>23</v>
      </c>
      <c r="J219" s="19">
        <v>7</v>
      </c>
      <c r="K219" s="22">
        <f t="shared" si="9"/>
        <v>0.695652173913043</v>
      </c>
    </row>
    <row r="220" spans="1:11">
      <c r="A220" s="5"/>
      <c r="B220" s="19" t="s">
        <v>76</v>
      </c>
      <c r="C220" s="19">
        <f t="shared" si="6"/>
        <v>10</v>
      </c>
      <c r="D220" s="22">
        <v>16</v>
      </c>
      <c r="E220" s="19">
        <v>6</v>
      </c>
      <c r="F220" s="22">
        <f t="shared" si="7"/>
        <v>0.625</v>
      </c>
      <c r="G220" s="19" t="s">
        <v>76</v>
      </c>
      <c r="H220" s="19">
        <f t="shared" si="8"/>
        <v>18</v>
      </c>
      <c r="I220" s="22">
        <v>25</v>
      </c>
      <c r="J220" s="19">
        <v>7</v>
      </c>
      <c r="K220" s="22">
        <f t="shared" si="9"/>
        <v>0.72</v>
      </c>
    </row>
    <row r="221" spans="1:11">
      <c r="A221" s="5"/>
      <c r="B221" s="19" t="s">
        <v>77</v>
      </c>
      <c r="C221" s="19">
        <f t="shared" si="6"/>
        <v>12</v>
      </c>
      <c r="D221" s="22">
        <v>20</v>
      </c>
      <c r="E221" s="19">
        <v>8</v>
      </c>
      <c r="F221" s="22">
        <f t="shared" si="7"/>
        <v>0.6</v>
      </c>
      <c r="G221" s="19" t="s">
        <v>77</v>
      </c>
      <c r="H221" s="19">
        <f t="shared" si="8"/>
        <v>14</v>
      </c>
      <c r="I221" s="22">
        <v>27</v>
      </c>
      <c r="J221" s="23">
        <v>13</v>
      </c>
      <c r="K221" s="22">
        <f t="shared" si="9"/>
        <v>0.518518518518518</v>
      </c>
    </row>
    <row r="222" spans="1:11">
      <c r="A222" s="5"/>
      <c r="B222" s="19" t="s">
        <v>78</v>
      </c>
      <c r="C222" s="19">
        <f t="shared" si="6"/>
        <v>13</v>
      </c>
      <c r="D222" s="22">
        <v>20</v>
      </c>
      <c r="E222" s="19">
        <v>7</v>
      </c>
      <c r="F222" s="22">
        <f t="shared" si="7"/>
        <v>0.65</v>
      </c>
      <c r="G222" s="19" t="s">
        <v>78</v>
      </c>
      <c r="H222" s="19">
        <f t="shared" si="8"/>
        <v>15</v>
      </c>
      <c r="I222" s="22">
        <v>23</v>
      </c>
      <c r="J222" s="19">
        <v>8</v>
      </c>
      <c r="K222" s="22">
        <f t="shared" si="9"/>
        <v>0.652173913043478</v>
      </c>
    </row>
    <row r="223" spans="1:11">
      <c r="A223" s="5"/>
      <c r="B223" s="19" t="s">
        <v>79</v>
      </c>
      <c r="C223" s="19">
        <f t="shared" si="6"/>
        <v>8</v>
      </c>
      <c r="D223" s="22">
        <v>16</v>
      </c>
      <c r="E223" s="19">
        <v>8</v>
      </c>
      <c r="F223" s="22">
        <f t="shared" si="7"/>
        <v>0.5</v>
      </c>
      <c r="G223" s="19" t="s">
        <v>79</v>
      </c>
      <c r="H223" s="19">
        <f t="shared" si="8"/>
        <v>17</v>
      </c>
      <c r="I223" s="22">
        <v>25</v>
      </c>
      <c r="J223" s="19">
        <v>8</v>
      </c>
      <c r="K223" s="22">
        <f t="shared" si="9"/>
        <v>0.68</v>
      </c>
    </row>
    <row r="224" spans="1:11">
      <c r="A224" s="5"/>
      <c r="B224" s="19" t="s">
        <v>80</v>
      </c>
      <c r="C224" s="19">
        <f t="shared" si="6"/>
        <v>6</v>
      </c>
      <c r="D224" s="22">
        <v>20</v>
      </c>
      <c r="E224" s="19">
        <v>14</v>
      </c>
      <c r="F224" s="22">
        <f t="shared" si="7"/>
        <v>0.3</v>
      </c>
      <c r="G224" s="19" t="s">
        <v>80</v>
      </c>
      <c r="H224" s="19">
        <f t="shared" si="8"/>
        <v>6</v>
      </c>
      <c r="I224" s="22">
        <v>27</v>
      </c>
      <c r="J224" s="19">
        <v>21</v>
      </c>
      <c r="K224" s="22">
        <f t="shared" si="9"/>
        <v>0.222222222222222</v>
      </c>
    </row>
    <row r="225" spans="1:11">
      <c r="A225" s="5"/>
      <c r="B225" s="19" t="s">
        <v>81</v>
      </c>
      <c r="C225" s="19">
        <f t="shared" si="6"/>
        <v>10</v>
      </c>
      <c r="D225" s="22">
        <v>20</v>
      </c>
      <c r="E225" s="19">
        <v>10</v>
      </c>
      <c r="F225" s="22">
        <f t="shared" si="7"/>
        <v>0.5</v>
      </c>
      <c r="G225" s="19" t="s">
        <v>81</v>
      </c>
      <c r="H225" s="19">
        <f t="shared" si="8"/>
        <v>7</v>
      </c>
      <c r="I225" s="22">
        <v>23</v>
      </c>
      <c r="J225" s="19">
        <v>16</v>
      </c>
      <c r="K225" s="22">
        <f t="shared" si="9"/>
        <v>0.304347826086957</v>
      </c>
    </row>
    <row r="226" spans="1:11">
      <c r="A226" s="5"/>
      <c r="B226" s="19" t="s">
        <v>82</v>
      </c>
      <c r="C226" s="19">
        <f t="shared" si="6"/>
        <v>4</v>
      </c>
      <c r="D226" s="22">
        <v>16</v>
      </c>
      <c r="E226" s="19">
        <v>12</v>
      </c>
      <c r="F226" s="22">
        <f t="shared" si="7"/>
        <v>0.25</v>
      </c>
      <c r="G226" s="19" t="s">
        <v>82</v>
      </c>
      <c r="H226" s="19">
        <f t="shared" si="8"/>
        <v>5</v>
      </c>
      <c r="I226" s="22">
        <v>25</v>
      </c>
      <c r="J226" s="19">
        <v>20</v>
      </c>
      <c r="K226" s="22">
        <f t="shared" si="9"/>
        <v>0.2</v>
      </c>
    </row>
    <row r="227" spans="1:11">
      <c r="A227" s="5" t="s">
        <v>83</v>
      </c>
      <c r="B227" s="5" t="s">
        <v>2</v>
      </c>
      <c r="C227" s="5"/>
      <c r="D227" s="5"/>
      <c r="E227" s="5"/>
      <c r="F227" s="5"/>
      <c r="G227" s="20" t="s">
        <v>11</v>
      </c>
      <c r="H227" s="21"/>
      <c r="I227" s="21"/>
      <c r="J227" s="21"/>
      <c r="K227" s="24"/>
    </row>
    <row r="228" spans="1:11">
      <c r="A228" s="5"/>
      <c r="B228" s="19" t="s">
        <v>49</v>
      </c>
      <c r="C228" s="5" t="s">
        <v>51</v>
      </c>
      <c r="D228" s="5" t="s">
        <v>53</v>
      </c>
      <c r="E228" s="5" t="s">
        <v>52</v>
      </c>
      <c r="F228" s="19" t="s">
        <v>61</v>
      </c>
      <c r="G228" s="19" t="s">
        <v>49</v>
      </c>
      <c r="H228" s="5" t="s">
        <v>51</v>
      </c>
      <c r="I228" s="5" t="s">
        <v>53</v>
      </c>
      <c r="J228" s="5" t="s">
        <v>52</v>
      </c>
      <c r="K228" s="19" t="s">
        <v>61</v>
      </c>
    </row>
    <row r="229" spans="1:11">
      <c r="A229" s="5"/>
      <c r="B229" s="19" t="s">
        <v>62</v>
      </c>
      <c r="C229" s="19">
        <f t="shared" ref="C229:C249" si="10">D229-E229</f>
        <v>27</v>
      </c>
      <c r="D229" s="22">
        <v>27</v>
      </c>
      <c r="E229" s="5">
        <v>0</v>
      </c>
      <c r="F229" s="22">
        <f t="shared" ref="F229:F249" si="11">C229/D229</f>
        <v>1</v>
      </c>
      <c r="G229" s="19" t="s">
        <v>62</v>
      </c>
      <c r="H229" s="19">
        <f t="shared" ref="H229:H249" si="12">I229-J229</f>
        <v>25</v>
      </c>
      <c r="I229" s="22">
        <v>25</v>
      </c>
      <c r="J229" s="23">
        <v>0</v>
      </c>
      <c r="K229" s="22">
        <f t="shared" ref="K229:K249" si="13">H229/I229</f>
        <v>1</v>
      </c>
    </row>
    <row r="230" spans="1:11">
      <c r="A230" s="5"/>
      <c r="B230" s="19" t="s">
        <v>63</v>
      </c>
      <c r="C230" s="19">
        <f t="shared" si="10"/>
        <v>29</v>
      </c>
      <c r="D230" s="22">
        <v>29</v>
      </c>
      <c r="E230" s="5">
        <v>0</v>
      </c>
      <c r="F230" s="22">
        <f t="shared" si="11"/>
        <v>1</v>
      </c>
      <c r="G230" s="19" t="s">
        <v>63</v>
      </c>
      <c r="H230" s="19">
        <f t="shared" si="12"/>
        <v>22</v>
      </c>
      <c r="I230" s="22">
        <v>22</v>
      </c>
      <c r="J230" s="6">
        <v>0</v>
      </c>
      <c r="K230" s="22">
        <f t="shared" si="13"/>
        <v>1</v>
      </c>
    </row>
    <row r="231" spans="1:11">
      <c r="A231" s="5"/>
      <c r="B231" s="19" t="s">
        <v>64</v>
      </c>
      <c r="C231" s="19">
        <f t="shared" si="10"/>
        <v>20</v>
      </c>
      <c r="D231" s="22">
        <v>20</v>
      </c>
      <c r="E231" s="5">
        <v>0</v>
      </c>
      <c r="F231" s="22">
        <f t="shared" si="11"/>
        <v>1</v>
      </c>
      <c r="G231" s="19" t="s">
        <v>64</v>
      </c>
      <c r="H231" s="19">
        <f t="shared" si="12"/>
        <v>21</v>
      </c>
      <c r="I231" s="22">
        <v>21</v>
      </c>
      <c r="J231" s="23">
        <v>0</v>
      </c>
      <c r="K231" s="22">
        <f t="shared" si="13"/>
        <v>1</v>
      </c>
    </row>
    <row r="232" spans="1:11">
      <c r="A232" s="5"/>
      <c r="B232" s="19" t="s">
        <v>65</v>
      </c>
      <c r="C232" s="19">
        <f t="shared" si="10"/>
        <v>23</v>
      </c>
      <c r="D232" s="22">
        <v>27</v>
      </c>
      <c r="E232" s="23">
        <v>4</v>
      </c>
      <c r="F232" s="22">
        <f t="shared" si="11"/>
        <v>0.851851851851852</v>
      </c>
      <c r="G232" s="19" t="s">
        <v>65</v>
      </c>
      <c r="H232" s="19">
        <f t="shared" si="12"/>
        <v>22</v>
      </c>
      <c r="I232" s="22">
        <v>25</v>
      </c>
      <c r="J232" s="23">
        <v>3</v>
      </c>
      <c r="K232" s="22">
        <f t="shared" si="13"/>
        <v>0.88</v>
      </c>
    </row>
    <row r="233" spans="1:11">
      <c r="A233" s="5"/>
      <c r="B233" s="19" t="s">
        <v>66</v>
      </c>
      <c r="C233" s="19">
        <f t="shared" si="10"/>
        <v>26</v>
      </c>
      <c r="D233" s="22">
        <v>29</v>
      </c>
      <c r="E233" s="6">
        <v>3</v>
      </c>
      <c r="F233" s="22">
        <f t="shared" si="11"/>
        <v>0.896551724137931</v>
      </c>
      <c r="G233" s="19" t="s">
        <v>66</v>
      </c>
      <c r="H233" s="19">
        <f t="shared" si="12"/>
        <v>20</v>
      </c>
      <c r="I233" s="22">
        <v>22</v>
      </c>
      <c r="J233" s="23">
        <v>2</v>
      </c>
      <c r="K233" s="22">
        <f t="shared" si="13"/>
        <v>0.909090909090909</v>
      </c>
    </row>
    <row r="234" spans="1:11">
      <c r="A234" s="5"/>
      <c r="B234" s="19" t="s">
        <v>67</v>
      </c>
      <c r="C234" s="19">
        <f t="shared" si="10"/>
        <v>16</v>
      </c>
      <c r="D234" s="22">
        <v>20</v>
      </c>
      <c r="E234" s="1">
        <v>4</v>
      </c>
      <c r="F234" s="22">
        <f t="shared" si="11"/>
        <v>0.8</v>
      </c>
      <c r="G234" s="19" t="s">
        <v>67</v>
      </c>
      <c r="H234" s="19">
        <f t="shared" si="12"/>
        <v>17</v>
      </c>
      <c r="I234" s="22">
        <v>21</v>
      </c>
      <c r="J234" s="23">
        <v>4</v>
      </c>
      <c r="K234" s="22">
        <f t="shared" si="13"/>
        <v>0.80952380952381</v>
      </c>
    </row>
    <row r="235" spans="1:11">
      <c r="A235" s="5"/>
      <c r="B235" s="19" t="s">
        <v>68</v>
      </c>
      <c r="C235" s="19">
        <f t="shared" si="10"/>
        <v>19</v>
      </c>
      <c r="D235" s="22">
        <v>27</v>
      </c>
      <c r="E235" s="23">
        <v>8</v>
      </c>
      <c r="F235" s="22">
        <f t="shared" si="11"/>
        <v>0.703703703703704</v>
      </c>
      <c r="G235" s="19" t="s">
        <v>68</v>
      </c>
      <c r="H235" s="19">
        <f t="shared" si="12"/>
        <v>19</v>
      </c>
      <c r="I235" s="22">
        <v>25</v>
      </c>
      <c r="J235" s="23">
        <v>6</v>
      </c>
      <c r="K235" s="22">
        <f t="shared" si="13"/>
        <v>0.76</v>
      </c>
    </row>
    <row r="236" spans="1:11">
      <c r="A236" s="5"/>
      <c r="B236" s="19" t="s">
        <v>69</v>
      </c>
      <c r="C236" s="19">
        <f t="shared" si="10"/>
        <v>24</v>
      </c>
      <c r="D236" s="22">
        <v>29</v>
      </c>
      <c r="E236" s="23">
        <v>5</v>
      </c>
      <c r="F236" s="22">
        <f t="shared" si="11"/>
        <v>0.827586206896552</v>
      </c>
      <c r="G236" s="19" t="s">
        <v>69</v>
      </c>
      <c r="H236" s="19">
        <f t="shared" si="12"/>
        <v>17</v>
      </c>
      <c r="I236" s="22">
        <v>22</v>
      </c>
      <c r="J236" s="23">
        <v>5</v>
      </c>
      <c r="K236" s="22">
        <f t="shared" si="13"/>
        <v>0.772727272727273</v>
      </c>
    </row>
    <row r="237" spans="1:11">
      <c r="A237" s="5"/>
      <c r="B237" s="19" t="s">
        <v>70</v>
      </c>
      <c r="C237" s="19">
        <f t="shared" si="10"/>
        <v>15</v>
      </c>
      <c r="D237" s="22">
        <v>20</v>
      </c>
      <c r="E237" s="23">
        <v>5</v>
      </c>
      <c r="F237" s="22">
        <f t="shared" si="11"/>
        <v>0.75</v>
      </c>
      <c r="G237" s="19" t="s">
        <v>70</v>
      </c>
      <c r="H237" s="19">
        <f t="shared" si="12"/>
        <v>14</v>
      </c>
      <c r="I237" s="22">
        <v>21</v>
      </c>
      <c r="J237" s="23">
        <v>7</v>
      </c>
      <c r="K237" s="22">
        <f t="shared" si="13"/>
        <v>0.666666666666667</v>
      </c>
    </row>
    <row r="238" spans="1:11">
      <c r="A238" s="5"/>
      <c r="B238" s="19" t="s">
        <v>71</v>
      </c>
      <c r="C238" s="19">
        <f t="shared" si="10"/>
        <v>19</v>
      </c>
      <c r="D238" s="22">
        <v>27</v>
      </c>
      <c r="E238" s="23">
        <v>8</v>
      </c>
      <c r="F238" s="22">
        <f t="shared" si="11"/>
        <v>0.703703703703704</v>
      </c>
      <c r="G238" s="19" t="s">
        <v>71</v>
      </c>
      <c r="H238" s="19">
        <f t="shared" si="12"/>
        <v>18</v>
      </c>
      <c r="I238" s="22">
        <v>25</v>
      </c>
      <c r="J238" s="23">
        <v>7</v>
      </c>
      <c r="K238" s="22">
        <f t="shared" si="13"/>
        <v>0.72</v>
      </c>
    </row>
    <row r="239" spans="1:11">
      <c r="A239" s="5"/>
      <c r="B239" s="19" t="s">
        <v>72</v>
      </c>
      <c r="C239" s="19">
        <f t="shared" si="10"/>
        <v>23</v>
      </c>
      <c r="D239" s="22">
        <v>29</v>
      </c>
      <c r="E239" s="23">
        <v>6</v>
      </c>
      <c r="F239" s="22">
        <f t="shared" si="11"/>
        <v>0.793103448275862</v>
      </c>
      <c r="G239" s="19" t="s">
        <v>72</v>
      </c>
      <c r="H239" s="19">
        <f t="shared" si="12"/>
        <v>14</v>
      </c>
      <c r="I239" s="22">
        <v>22</v>
      </c>
      <c r="J239" s="23">
        <v>8</v>
      </c>
      <c r="K239" s="22">
        <f t="shared" si="13"/>
        <v>0.636363636363636</v>
      </c>
    </row>
    <row r="240" spans="1:11">
      <c r="A240" s="5"/>
      <c r="B240" s="19" t="s">
        <v>73</v>
      </c>
      <c r="C240" s="19">
        <f t="shared" si="10"/>
        <v>14</v>
      </c>
      <c r="D240" s="22">
        <v>20</v>
      </c>
      <c r="E240" s="23">
        <v>6</v>
      </c>
      <c r="F240" s="22">
        <f t="shared" si="11"/>
        <v>0.7</v>
      </c>
      <c r="G240" s="19" t="s">
        <v>73</v>
      </c>
      <c r="H240" s="19">
        <f t="shared" si="12"/>
        <v>13</v>
      </c>
      <c r="I240" s="22">
        <v>21</v>
      </c>
      <c r="J240" s="19">
        <v>8</v>
      </c>
      <c r="K240" s="22">
        <f t="shared" si="13"/>
        <v>0.619047619047619</v>
      </c>
    </row>
    <row r="241" spans="1:11">
      <c r="A241" s="5"/>
      <c r="B241" s="19" t="s">
        <v>74</v>
      </c>
      <c r="C241" s="19">
        <f t="shared" si="10"/>
        <v>17</v>
      </c>
      <c r="D241" s="22">
        <v>27</v>
      </c>
      <c r="E241" s="23">
        <v>10</v>
      </c>
      <c r="F241" s="22">
        <f t="shared" si="11"/>
        <v>0.62962962962963</v>
      </c>
      <c r="G241" s="19" t="s">
        <v>74</v>
      </c>
      <c r="H241" s="19">
        <f t="shared" si="12"/>
        <v>15</v>
      </c>
      <c r="I241" s="22">
        <v>25</v>
      </c>
      <c r="J241" s="23">
        <v>10</v>
      </c>
      <c r="K241" s="22">
        <f t="shared" si="13"/>
        <v>0.6</v>
      </c>
    </row>
    <row r="242" spans="1:11">
      <c r="A242" s="5"/>
      <c r="B242" s="19" t="s">
        <v>75</v>
      </c>
      <c r="C242" s="19">
        <f t="shared" si="10"/>
        <v>22</v>
      </c>
      <c r="D242" s="22">
        <v>29</v>
      </c>
      <c r="E242" s="23">
        <v>7</v>
      </c>
      <c r="F242" s="22">
        <f t="shared" si="11"/>
        <v>0.758620689655172</v>
      </c>
      <c r="G242" s="19" t="s">
        <v>75</v>
      </c>
      <c r="H242" s="19">
        <f t="shared" si="12"/>
        <v>12</v>
      </c>
      <c r="I242" s="22">
        <v>22</v>
      </c>
      <c r="J242" s="23">
        <v>10</v>
      </c>
      <c r="K242" s="22">
        <f t="shared" si="13"/>
        <v>0.545454545454545</v>
      </c>
    </row>
    <row r="243" spans="1:11">
      <c r="A243" s="5"/>
      <c r="B243" s="19" t="s">
        <v>76</v>
      </c>
      <c r="C243" s="19">
        <f t="shared" si="10"/>
        <v>12</v>
      </c>
      <c r="D243" s="22">
        <v>20</v>
      </c>
      <c r="E243" s="23">
        <v>8</v>
      </c>
      <c r="F243" s="22">
        <f t="shared" si="11"/>
        <v>0.6</v>
      </c>
      <c r="G243" s="19" t="s">
        <v>76</v>
      </c>
      <c r="H243" s="19">
        <f t="shared" si="12"/>
        <v>10</v>
      </c>
      <c r="I243" s="22">
        <v>21</v>
      </c>
      <c r="J243" s="19">
        <v>11</v>
      </c>
      <c r="K243" s="22">
        <f t="shared" si="13"/>
        <v>0.476190476190476</v>
      </c>
    </row>
    <row r="244" spans="1:11">
      <c r="A244" s="5"/>
      <c r="B244" s="19" t="s">
        <v>77</v>
      </c>
      <c r="C244" s="19">
        <f t="shared" si="10"/>
        <v>16</v>
      </c>
      <c r="D244" s="22">
        <v>27</v>
      </c>
      <c r="E244" s="19">
        <v>11</v>
      </c>
      <c r="F244" s="22">
        <f t="shared" si="11"/>
        <v>0.592592592592593</v>
      </c>
      <c r="G244" s="19" t="s">
        <v>77</v>
      </c>
      <c r="H244" s="19">
        <f t="shared" si="12"/>
        <v>14</v>
      </c>
      <c r="I244" s="22">
        <v>25</v>
      </c>
      <c r="J244" s="19">
        <v>11</v>
      </c>
      <c r="K244" s="22">
        <f t="shared" si="13"/>
        <v>0.56</v>
      </c>
    </row>
    <row r="245" spans="1:11">
      <c r="A245" s="5"/>
      <c r="B245" s="19" t="s">
        <v>78</v>
      </c>
      <c r="C245" s="19">
        <f t="shared" si="10"/>
        <v>20</v>
      </c>
      <c r="D245" s="22">
        <v>29</v>
      </c>
      <c r="E245" s="19">
        <v>9</v>
      </c>
      <c r="F245" s="22">
        <f t="shared" si="11"/>
        <v>0.689655172413793</v>
      </c>
      <c r="G245" s="19" t="s">
        <v>78</v>
      </c>
      <c r="H245" s="19">
        <f t="shared" si="12"/>
        <v>7</v>
      </c>
      <c r="I245" s="22">
        <v>22</v>
      </c>
      <c r="J245" s="19">
        <v>15</v>
      </c>
      <c r="K245" s="22">
        <f t="shared" si="13"/>
        <v>0.318181818181818</v>
      </c>
    </row>
    <row r="246" spans="1:11">
      <c r="A246" s="5"/>
      <c r="B246" s="19" t="s">
        <v>79</v>
      </c>
      <c r="C246" s="19">
        <f t="shared" si="10"/>
        <v>10</v>
      </c>
      <c r="D246" s="22">
        <v>20</v>
      </c>
      <c r="E246" s="19">
        <v>10</v>
      </c>
      <c r="F246" s="22">
        <f t="shared" si="11"/>
        <v>0.5</v>
      </c>
      <c r="G246" s="19" t="s">
        <v>79</v>
      </c>
      <c r="H246" s="19">
        <f t="shared" si="12"/>
        <v>9</v>
      </c>
      <c r="I246" s="22">
        <v>21</v>
      </c>
      <c r="J246" s="19">
        <v>12</v>
      </c>
      <c r="K246" s="22">
        <f t="shared" si="13"/>
        <v>0.428571428571429</v>
      </c>
    </row>
    <row r="247" spans="1:11">
      <c r="A247" s="5"/>
      <c r="B247" s="19" t="s">
        <v>80</v>
      </c>
      <c r="C247" s="19">
        <f t="shared" si="10"/>
        <v>4</v>
      </c>
      <c r="D247" s="22">
        <v>27</v>
      </c>
      <c r="E247" s="19">
        <v>23</v>
      </c>
      <c r="F247" s="22">
        <f t="shared" si="11"/>
        <v>0.148148148148148</v>
      </c>
      <c r="G247" s="19" t="s">
        <v>80</v>
      </c>
      <c r="H247" s="19">
        <f t="shared" si="12"/>
        <v>6</v>
      </c>
      <c r="I247" s="22">
        <v>25</v>
      </c>
      <c r="J247" s="23">
        <v>19</v>
      </c>
      <c r="K247" s="22">
        <f t="shared" si="13"/>
        <v>0.24</v>
      </c>
    </row>
    <row r="248" spans="1:11">
      <c r="A248" s="5"/>
      <c r="B248" s="19" t="s">
        <v>81</v>
      </c>
      <c r="C248" s="19">
        <f t="shared" si="10"/>
        <v>9</v>
      </c>
      <c r="D248" s="22">
        <v>29</v>
      </c>
      <c r="E248" s="19">
        <v>20</v>
      </c>
      <c r="F248" s="22">
        <f t="shared" si="11"/>
        <v>0.310344827586207</v>
      </c>
      <c r="G248" s="19" t="s">
        <v>81</v>
      </c>
      <c r="H248" s="19">
        <f t="shared" si="12"/>
        <v>3</v>
      </c>
      <c r="I248" s="22">
        <v>22</v>
      </c>
      <c r="J248" s="6">
        <v>19</v>
      </c>
      <c r="K248" s="22">
        <f t="shared" si="13"/>
        <v>0.136363636363636</v>
      </c>
    </row>
    <row r="249" spans="1:11">
      <c r="A249" s="5"/>
      <c r="B249" s="19" t="s">
        <v>82</v>
      </c>
      <c r="C249" s="19">
        <f t="shared" si="10"/>
        <v>3</v>
      </c>
      <c r="D249" s="22">
        <v>20</v>
      </c>
      <c r="E249" s="19">
        <v>17</v>
      </c>
      <c r="F249" s="22">
        <f t="shared" si="11"/>
        <v>0.15</v>
      </c>
      <c r="G249" s="19" t="s">
        <v>82</v>
      </c>
      <c r="H249" s="19">
        <f t="shared" si="12"/>
        <v>3</v>
      </c>
      <c r="I249" s="22">
        <v>21</v>
      </c>
      <c r="J249" s="23">
        <v>18</v>
      </c>
      <c r="K249" s="22">
        <f t="shared" si="13"/>
        <v>0.142857142857143</v>
      </c>
    </row>
  </sheetData>
  <mergeCells count="92">
    <mergeCell ref="A2:J2"/>
    <mergeCell ref="A3:J3"/>
    <mergeCell ref="C4:E4"/>
    <mergeCell ref="F4:H4"/>
    <mergeCell ref="C6:E6"/>
    <mergeCell ref="F6:H6"/>
    <mergeCell ref="C12:E12"/>
    <mergeCell ref="F12:H12"/>
    <mergeCell ref="C14:E14"/>
    <mergeCell ref="F14:H14"/>
    <mergeCell ref="A21:J21"/>
    <mergeCell ref="C22:E22"/>
    <mergeCell ref="F22:H22"/>
    <mergeCell ref="C24:E24"/>
    <mergeCell ref="F24:H24"/>
    <mergeCell ref="C30:E30"/>
    <mergeCell ref="F30:H30"/>
    <mergeCell ref="A37:J37"/>
    <mergeCell ref="C38:E38"/>
    <mergeCell ref="F38:H38"/>
    <mergeCell ref="C44:E44"/>
    <mergeCell ref="F44:H44"/>
    <mergeCell ref="A51:J51"/>
    <mergeCell ref="C52:E52"/>
    <mergeCell ref="F52:H52"/>
    <mergeCell ref="C58:E58"/>
    <mergeCell ref="F58:H58"/>
    <mergeCell ref="A65:J65"/>
    <mergeCell ref="A66:J66"/>
    <mergeCell ref="A84:G84"/>
    <mergeCell ref="A99:J99"/>
    <mergeCell ref="C101:E101"/>
    <mergeCell ref="F101:H101"/>
    <mergeCell ref="A113:K113"/>
    <mergeCell ref="C114:E114"/>
    <mergeCell ref="F114:H114"/>
    <mergeCell ref="I114:K114"/>
    <mergeCell ref="A134:J134"/>
    <mergeCell ref="A135:J135"/>
    <mergeCell ref="C136:E136"/>
    <mergeCell ref="F136:H136"/>
    <mergeCell ref="C138:E138"/>
    <mergeCell ref="F138:H138"/>
    <mergeCell ref="C144:E144"/>
    <mergeCell ref="F144:H144"/>
    <mergeCell ref="A151:J151"/>
    <mergeCell ref="C152:E152"/>
    <mergeCell ref="F152:H152"/>
    <mergeCell ref="C158:E158"/>
    <mergeCell ref="F158:H158"/>
    <mergeCell ref="A165:G165"/>
    <mergeCell ref="A184:J184"/>
    <mergeCell ref="A185:J185"/>
    <mergeCell ref="B186:D186"/>
    <mergeCell ref="E186:G186"/>
    <mergeCell ref="H186:J186"/>
    <mergeCell ref="A194:J194"/>
    <mergeCell ref="B195:D195"/>
    <mergeCell ref="E195:G195"/>
    <mergeCell ref="H195:J195"/>
    <mergeCell ref="B204:F204"/>
    <mergeCell ref="G204:K204"/>
    <mergeCell ref="B227:F227"/>
    <mergeCell ref="G227:K227"/>
    <mergeCell ref="A4:A11"/>
    <mergeCell ref="A12:A19"/>
    <mergeCell ref="A22:A29"/>
    <mergeCell ref="A30:A35"/>
    <mergeCell ref="A38:A43"/>
    <mergeCell ref="A44:A49"/>
    <mergeCell ref="A52:A57"/>
    <mergeCell ref="A58:A63"/>
    <mergeCell ref="A73:A77"/>
    <mergeCell ref="A78:A82"/>
    <mergeCell ref="A86:A90"/>
    <mergeCell ref="A91:A95"/>
    <mergeCell ref="A102:A106"/>
    <mergeCell ref="A107:A111"/>
    <mergeCell ref="A115:A117"/>
    <mergeCell ref="A118:A120"/>
    <mergeCell ref="A121:A123"/>
    <mergeCell ref="A124:A126"/>
    <mergeCell ref="A127:A129"/>
    <mergeCell ref="A130:A132"/>
    <mergeCell ref="A136:A143"/>
    <mergeCell ref="A144:A149"/>
    <mergeCell ref="A152:A157"/>
    <mergeCell ref="A158:A163"/>
    <mergeCell ref="A172:A176"/>
    <mergeCell ref="A177:A181"/>
    <mergeCell ref="A204:A226"/>
    <mergeCell ref="A227:A24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董文博</dc:creator>
  <cp:lastModifiedBy>人间沙</cp:lastModifiedBy>
  <dcterms:created xsi:type="dcterms:W3CDTF">2023-05-12T11:15:00Z</dcterms:created>
  <dcterms:modified xsi:type="dcterms:W3CDTF">2024-08-03T13:19:22Z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14FACC68E66C4671836A9AAF1A9DAB5C_12</vt:lpwstr>
  </property>
</Properties>
</file>